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David Pineda\Desktop\cursos ML y Python\trading\forex_PYCARET\MEANREVERSIONKALMAN\ok09012025\CONSOLIDADOS TRIPLE_EMA_STOCHASTIC\NUEVOS_MODELOS - 1h\"/>
    </mc:Choice>
  </mc:AlternateContent>
  <xr:revisionPtr revIDLastSave="0" documentId="13_ncr:1_{C0A09E8B-E537-4C0D-8869-9E9743FD627D}" xr6:coauthVersionLast="47" xr6:coauthVersionMax="47" xr10:uidLastSave="{00000000-0000-0000-0000-000000000000}"/>
  <bookViews>
    <workbookView xWindow="-96" yWindow="-96" windowWidth="23232" windowHeight="12552" firstSheet="1" activeTab="10" xr2:uid="{00000000-000D-0000-FFFF-FFFF00000000}"/>
  </bookViews>
  <sheets>
    <sheet name="Operaciones" sheetId="1" r:id="rId1"/>
    <sheet name="Hoja1" sheetId="6" r:id="rId2"/>
    <sheet name="Hoja3" sheetId="8" r:id="rId3"/>
    <sheet name="Hoja4" sheetId="9" r:id="rId4"/>
    <sheet name="Hoja5" sheetId="10" r:id="rId5"/>
    <sheet name="Hoja7" sheetId="13" r:id="rId6"/>
    <sheet name="Hoja8" sheetId="14" r:id="rId7"/>
    <sheet name="Hoja9" sheetId="15" r:id="rId8"/>
    <sheet name="nuevaok" sheetId="5" r:id="rId9"/>
    <sheet name="Configuración" sheetId="4" r:id="rId10"/>
    <sheet name="TABLERO" sheetId="12" r:id="rId11"/>
  </sheets>
  <definedNames>
    <definedName name="_xlnm._FilterDatabase" localSheetId="8" hidden="1">nuevaok!$AC$2:$AC$30</definedName>
    <definedName name="SegmentaciónDeDatos_Activo">#N/A</definedName>
  </definedNames>
  <calcPr calcId="191029"/>
  <pivotCaches>
    <pivotCache cacheId="0" r:id="rId12"/>
    <pivotCache cacheId="1" r:id="rId13"/>
  </pivotCaches>
  <extLst>
    <ext xmlns:x14="http://schemas.microsoft.com/office/spreadsheetml/2009/9/main" uri="{BBE1A952-AA13-448e-AADC-164F8A28A991}">
      <x14:slicerCaches>
        <x14:slicerCache r:id="rId14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H30" i="5" l="1"/>
  <c r="I30" i="5"/>
  <c r="W30" i="5"/>
  <c r="Y30" i="5"/>
  <c r="AB30" i="5"/>
  <c r="H29" i="5"/>
  <c r="I29" i="5"/>
  <c r="W29" i="5"/>
  <c r="Y29" i="5"/>
  <c r="AB29" i="5"/>
  <c r="H20" i="5"/>
  <c r="H21" i="5"/>
  <c r="H22" i="5"/>
  <c r="H23" i="5"/>
  <c r="H24" i="5"/>
  <c r="H25" i="5"/>
  <c r="H26" i="5"/>
  <c r="H27" i="5"/>
  <c r="H28" i="5"/>
  <c r="AB8" i="5"/>
  <c r="AB9" i="5"/>
  <c r="AB10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4" i="5"/>
  <c r="AB5" i="5"/>
  <c r="AB6" i="5"/>
  <c r="AB7" i="5"/>
  <c r="Y25" i="5"/>
  <c r="S13" i="5"/>
  <c r="W25" i="5"/>
  <c r="I25" i="5"/>
  <c r="W13" i="5"/>
  <c r="I13" i="5"/>
  <c r="H13" i="5"/>
  <c r="P13" i="5"/>
  <c r="Y26" i="5"/>
  <c r="Y27" i="5"/>
  <c r="Y28" i="5"/>
  <c r="W28" i="5"/>
  <c r="I28" i="5"/>
  <c r="W27" i="5"/>
  <c r="I27" i="5"/>
  <c r="W26" i="5"/>
  <c r="I26" i="5"/>
  <c r="Y24" i="5"/>
  <c r="W24" i="5"/>
  <c r="I24" i="5"/>
  <c r="Y23" i="5"/>
  <c r="W23" i="5"/>
  <c r="I23" i="5"/>
  <c r="W4" i="5"/>
  <c r="W5" i="5"/>
  <c r="W6" i="5"/>
  <c r="W7" i="5"/>
  <c r="W8" i="5"/>
  <c r="W9" i="5"/>
  <c r="W10" i="5"/>
  <c r="W11" i="5"/>
  <c r="W12" i="5"/>
  <c r="W14" i="5"/>
  <c r="W15" i="5"/>
  <c r="W16" i="5"/>
  <c r="W17" i="5"/>
  <c r="W18" i="5"/>
  <c r="W19" i="5"/>
  <c r="W20" i="5"/>
  <c r="W21" i="5"/>
  <c r="W22" i="5"/>
  <c r="W3" i="5"/>
  <c r="Y4" i="5"/>
  <c r="Y5" i="5"/>
  <c r="Y6" i="5"/>
  <c r="Y7" i="5"/>
  <c r="Y8" i="5"/>
  <c r="Y9" i="5"/>
  <c r="Y10" i="5"/>
  <c r="Y11" i="5"/>
  <c r="Y12" i="5"/>
  <c r="Y14" i="5"/>
  <c r="Y15" i="5"/>
  <c r="Y16" i="5"/>
  <c r="Y17" i="5"/>
  <c r="Y18" i="5"/>
  <c r="Y19" i="5"/>
  <c r="Y20" i="5"/>
  <c r="Y21" i="5"/>
  <c r="Y22" i="5"/>
  <c r="Y3" i="5"/>
  <c r="L16" i="5"/>
  <c r="L17" i="5"/>
  <c r="L18" i="5"/>
  <c r="L19" i="5"/>
  <c r="L20" i="5"/>
  <c r="L21" i="5"/>
  <c r="L22" i="5"/>
  <c r="I22" i="5"/>
  <c r="I21" i="5"/>
  <c r="I20" i="5"/>
  <c r="I19" i="5"/>
  <c r="H19" i="5"/>
  <c r="I18" i="5"/>
  <c r="H18" i="5"/>
  <c r="I17" i="5"/>
  <c r="H17" i="5"/>
  <c r="I16" i="5"/>
  <c r="H16" i="5"/>
  <c r="I3" i="5"/>
  <c r="I4" i="5"/>
  <c r="I5" i="5"/>
  <c r="I6" i="5"/>
  <c r="I7" i="5"/>
  <c r="I8" i="5"/>
  <c r="I9" i="5"/>
  <c r="I10" i="5"/>
  <c r="I11" i="5"/>
  <c r="I12" i="5"/>
  <c r="I15" i="5"/>
  <c r="H15" i="5"/>
  <c r="H3" i="5"/>
  <c r="H4" i="5"/>
  <c r="H5" i="5"/>
  <c r="H6" i="5"/>
  <c r="H7" i="5"/>
  <c r="H8" i="5"/>
  <c r="H9" i="5"/>
  <c r="H10" i="5"/>
  <c r="H11" i="5"/>
  <c r="H12" i="5"/>
  <c r="I14" i="5"/>
  <c r="H14" i="5"/>
  <c r="P3" i="5"/>
  <c r="P4" i="5"/>
  <c r="P5" i="5"/>
  <c r="P6" i="5"/>
  <c r="P7" i="5"/>
  <c r="P8" i="5"/>
  <c r="P9" i="5"/>
  <c r="P10" i="5"/>
  <c r="P11" i="5"/>
  <c r="P12" i="5"/>
  <c r="P15" i="5"/>
  <c r="P14" i="5"/>
  <c r="L15" i="5"/>
  <c r="L12" i="5"/>
  <c r="L14" i="5"/>
  <c r="Z14" i="5" s="1"/>
  <c r="L11" i="5"/>
  <c r="L10" i="5"/>
  <c r="L9" i="5"/>
  <c r="L8" i="5"/>
  <c r="L7" i="5"/>
  <c r="L6" i="5"/>
  <c r="L5" i="5"/>
  <c r="L4" i="5"/>
  <c r="L3" i="5"/>
  <c r="Z150" i="1"/>
  <c r="S160" i="1"/>
  <c r="Z160" i="1" s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151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3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3" i="1"/>
  <c r="M4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3" i="1"/>
  <c r="E3" i="1"/>
  <c r="G4" i="1"/>
  <c r="H4" i="1"/>
  <c r="I4" i="1"/>
  <c r="G5" i="1"/>
  <c r="H5" i="1"/>
  <c r="I5" i="1"/>
  <c r="G6" i="1"/>
  <c r="H6" i="1"/>
  <c r="I6" i="1"/>
  <c r="G7" i="1"/>
  <c r="H7" i="1"/>
  <c r="I7" i="1"/>
  <c r="G8" i="1"/>
  <c r="H8" i="1"/>
  <c r="I8" i="1"/>
  <c r="G9" i="1"/>
  <c r="H9" i="1"/>
  <c r="I9" i="1"/>
  <c r="G10" i="1"/>
  <c r="H10" i="1"/>
  <c r="I10" i="1"/>
  <c r="G11" i="1"/>
  <c r="H11" i="1"/>
  <c r="I11" i="1"/>
  <c r="G12" i="1"/>
  <c r="H12" i="1"/>
  <c r="I12" i="1"/>
  <c r="G13" i="1"/>
  <c r="H13" i="1"/>
  <c r="I13" i="1"/>
  <c r="G14" i="1"/>
  <c r="H14" i="1"/>
  <c r="I14" i="1"/>
  <c r="G15" i="1"/>
  <c r="H15" i="1"/>
  <c r="I15" i="1"/>
  <c r="G16" i="1"/>
  <c r="H16" i="1"/>
  <c r="I16" i="1"/>
  <c r="G17" i="1"/>
  <c r="H17" i="1"/>
  <c r="I17" i="1"/>
  <c r="G18" i="1"/>
  <c r="H18" i="1"/>
  <c r="I18" i="1"/>
  <c r="G19" i="1"/>
  <c r="H19" i="1"/>
  <c r="I19" i="1"/>
  <c r="G20" i="1"/>
  <c r="H20" i="1"/>
  <c r="I20" i="1"/>
  <c r="G21" i="1"/>
  <c r="H21" i="1"/>
  <c r="I21" i="1"/>
  <c r="G22" i="1"/>
  <c r="H22" i="1"/>
  <c r="I22" i="1"/>
  <c r="G23" i="1"/>
  <c r="H23" i="1"/>
  <c r="I23" i="1"/>
  <c r="G24" i="1"/>
  <c r="H24" i="1"/>
  <c r="I24" i="1"/>
  <c r="G25" i="1"/>
  <c r="H25" i="1"/>
  <c r="I25" i="1"/>
  <c r="G26" i="1"/>
  <c r="H26" i="1"/>
  <c r="I26" i="1"/>
  <c r="G27" i="1"/>
  <c r="H27" i="1"/>
  <c r="I27" i="1"/>
  <c r="G28" i="1"/>
  <c r="H28" i="1"/>
  <c r="I28" i="1"/>
  <c r="G29" i="1"/>
  <c r="H29" i="1"/>
  <c r="I29" i="1"/>
  <c r="G30" i="1"/>
  <c r="H30" i="1"/>
  <c r="I30" i="1"/>
  <c r="G31" i="1"/>
  <c r="H31" i="1"/>
  <c r="I31" i="1"/>
  <c r="G32" i="1"/>
  <c r="H32" i="1"/>
  <c r="I32" i="1"/>
  <c r="G33" i="1"/>
  <c r="H33" i="1"/>
  <c r="I33" i="1"/>
  <c r="G34" i="1"/>
  <c r="H34" i="1"/>
  <c r="I34" i="1"/>
  <c r="G35" i="1"/>
  <c r="H35" i="1"/>
  <c r="I35" i="1"/>
  <c r="G36" i="1"/>
  <c r="H36" i="1"/>
  <c r="I36" i="1"/>
  <c r="G37" i="1"/>
  <c r="H37" i="1"/>
  <c r="I37" i="1"/>
  <c r="G38" i="1"/>
  <c r="H38" i="1"/>
  <c r="I38" i="1"/>
  <c r="G39" i="1"/>
  <c r="H39" i="1"/>
  <c r="I39" i="1"/>
  <c r="G40" i="1"/>
  <c r="H40" i="1"/>
  <c r="I40" i="1"/>
  <c r="G41" i="1"/>
  <c r="H41" i="1"/>
  <c r="I41" i="1"/>
  <c r="G42" i="1"/>
  <c r="H42" i="1"/>
  <c r="I42" i="1"/>
  <c r="G43" i="1"/>
  <c r="H43" i="1"/>
  <c r="I43" i="1"/>
  <c r="G44" i="1"/>
  <c r="H44" i="1"/>
  <c r="I44" i="1"/>
  <c r="G45" i="1"/>
  <c r="H45" i="1"/>
  <c r="I45" i="1"/>
  <c r="G46" i="1"/>
  <c r="H46" i="1"/>
  <c r="I46" i="1"/>
  <c r="G47" i="1"/>
  <c r="H47" i="1"/>
  <c r="I47" i="1"/>
  <c r="G48" i="1"/>
  <c r="H48" i="1"/>
  <c r="I48" i="1"/>
  <c r="G49" i="1"/>
  <c r="H49" i="1"/>
  <c r="I49" i="1"/>
  <c r="G50" i="1"/>
  <c r="H50" i="1"/>
  <c r="I50" i="1"/>
  <c r="G51" i="1"/>
  <c r="H51" i="1"/>
  <c r="I51" i="1"/>
  <c r="G52" i="1"/>
  <c r="H52" i="1"/>
  <c r="I52" i="1"/>
  <c r="G53" i="1"/>
  <c r="H53" i="1"/>
  <c r="I53" i="1"/>
  <c r="G54" i="1"/>
  <c r="H54" i="1"/>
  <c r="I54" i="1"/>
  <c r="G55" i="1"/>
  <c r="H55" i="1"/>
  <c r="I55" i="1"/>
  <c r="G56" i="1"/>
  <c r="H56" i="1"/>
  <c r="I56" i="1"/>
  <c r="G57" i="1"/>
  <c r="H57" i="1"/>
  <c r="I57" i="1"/>
  <c r="G58" i="1"/>
  <c r="H58" i="1"/>
  <c r="I58" i="1"/>
  <c r="G59" i="1"/>
  <c r="H59" i="1"/>
  <c r="I59" i="1"/>
  <c r="G60" i="1"/>
  <c r="H60" i="1"/>
  <c r="I60" i="1"/>
  <c r="G61" i="1"/>
  <c r="H61" i="1"/>
  <c r="I61" i="1"/>
  <c r="G62" i="1"/>
  <c r="H62" i="1"/>
  <c r="I62" i="1"/>
  <c r="G63" i="1"/>
  <c r="H63" i="1"/>
  <c r="I63" i="1"/>
  <c r="G64" i="1"/>
  <c r="H64" i="1"/>
  <c r="I64" i="1"/>
  <c r="G65" i="1"/>
  <c r="H65" i="1"/>
  <c r="I65" i="1"/>
  <c r="G66" i="1"/>
  <c r="H66" i="1"/>
  <c r="I66" i="1"/>
  <c r="G67" i="1"/>
  <c r="H67" i="1"/>
  <c r="I67" i="1"/>
  <c r="G68" i="1"/>
  <c r="H68" i="1"/>
  <c r="I68" i="1"/>
  <c r="G69" i="1"/>
  <c r="H69" i="1"/>
  <c r="I69" i="1"/>
  <c r="G70" i="1"/>
  <c r="H70" i="1"/>
  <c r="I70" i="1"/>
  <c r="G71" i="1"/>
  <c r="H71" i="1"/>
  <c r="I71" i="1"/>
  <c r="G72" i="1"/>
  <c r="H72" i="1"/>
  <c r="I72" i="1"/>
  <c r="G73" i="1"/>
  <c r="H73" i="1"/>
  <c r="I73" i="1"/>
  <c r="G74" i="1"/>
  <c r="H74" i="1"/>
  <c r="I74" i="1"/>
  <c r="G75" i="1"/>
  <c r="H75" i="1"/>
  <c r="I75" i="1"/>
  <c r="G76" i="1"/>
  <c r="H76" i="1"/>
  <c r="I76" i="1"/>
  <c r="G77" i="1"/>
  <c r="H77" i="1"/>
  <c r="I77" i="1"/>
  <c r="G78" i="1"/>
  <c r="H78" i="1"/>
  <c r="I78" i="1"/>
  <c r="G79" i="1"/>
  <c r="H79" i="1"/>
  <c r="I79" i="1"/>
  <c r="G80" i="1"/>
  <c r="H80" i="1"/>
  <c r="I80" i="1"/>
  <c r="G81" i="1"/>
  <c r="H81" i="1"/>
  <c r="I81" i="1"/>
  <c r="G82" i="1"/>
  <c r="H82" i="1"/>
  <c r="I82" i="1"/>
  <c r="G83" i="1"/>
  <c r="H83" i="1"/>
  <c r="I83" i="1"/>
  <c r="G84" i="1"/>
  <c r="H84" i="1"/>
  <c r="I84" i="1"/>
  <c r="G85" i="1"/>
  <c r="H85" i="1"/>
  <c r="I85" i="1"/>
  <c r="G86" i="1"/>
  <c r="H86" i="1"/>
  <c r="I86" i="1"/>
  <c r="G87" i="1"/>
  <c r="H87" i="1"/>
  <c r="I87" i="1"/>
  <c r="G88" i="1"/>
  <c r="H88" i="1"/>
  <c r="I88" i="1"/>
  <c r="G89" i="1"/>
  <c r="H89" i="1"/>
  <c r="I89" i="1"/>
  <c r="G90" i="1"/>
  <c r="H90" i="1"/>
  <c r="I90" i="1"/>
  <c r="G91" i="1"/>
  <c r="H91" i="1"/>
  <c r="I91" i="1"/>
  <c r="G92" i="1"/>
  <c r="H92" i="1"/>
  <c r="I92" i="1"/>
  <c r="G93" i="1"/>
  <c r="H93" i="1"/>
  <c r="I93" i="1"/>
  <c r="G94" i="1"/>
  <c r="H94" i="1"/>
  <c r="I94" i="1"/>
  <c r="G95" i="1"/>
  <c r="H95" i="1"/>
  <c r="I95" i="1"/>
  <c r="G96" i="1"/>
  <c r="H96" i="1"/>
  <c r="I96" i="1"/>
  <c r="G97" i="1"/>
  <c r="H97" i="1"/>
  <c r="I97" i="1"/>
  <c r="G98" i="1"/>
  <c r="H98" i="1"/>
  <c r="I98" i="1"/>
  <c r="G99" i="1"/>
  <c r="H99" i="1"/>
  <c r="I99" i="1"/>
  <c r="G100" i="1"/>
  <c r="H100" i="1"/>
  <c r="I100" i="1"/>
  <c r="G101" i="1"/>
  <c r="H101" i="1"/>
  <c r="I101" i="1"/>
  <c r="G102" i="1"/>
  <c r="H102" i="1"/>
  <c r="I102" i="1"/>
  <c r="G103" i="1"/>
  <c r="H103" i="1"/>
  <c r="I103" i="1"/>
  <c r="G104" i="1"/>
  <c r="H104" i="1"/>
  <c r="I104" i="1"/>
  <c r="G105" i="1"/>
  <c r="H105" i="1"/>
  <c r="I105" i="1"/>
  <c r="G106" i="1"/>
  <c r="H106" i="1"/>
  <c r="I106" i="1"/>
  <c r="G107" i="1"/>
  <c r="H107" i="1"/>
  <c r="I107" i="1"/>
  <c r="G108" i="1"/>
  <c r="H108" i="1"/>
  <c r="I108" i="1"/>
  <c r="G109" i="1"/>
  <c r="H109" i="1"/>
  <c r="I109" i="1"/>
  <c r="G110" i="1"/>
  <c r="H110" i="1"/>
  <c r="I110" i="1"/>
  <c r="G111" i="1"/>
  <c r="H111" i="1"/>
  <c r="I111" i="1"/>
  <c r="G112" i="1"/>
  <c r="H112" i="1"/>
  <c r="I112" i="1"/>
  <c r="G113" i="1"/>
  <c r="H113" i="1"/>
  <c r="I113" i="1"/>
  <c r="G114" i="1"/>
  <c r="H114" i="1"/>
  <c r="I114" i="1"/>
  <c r="G115" i="1"/>
  <c r="H115" i="1"/>
  <c r="I115" i="1"/>
  <c r="G116" i="1"/>
  <c r="H116" i="1"/>
  <c r="I116" i="1"/>
  <c r="G117" i="1"/>
  <c r="H117" i="1"/>
  <c r="I117" i="1"/>
  <c r="G118" i="1"/>
  <c r="H118" i="1"/>
  <c r="I118" i="1"/>
  <c r="G119" i="1"/>
  <c r="H119" i="1"/>
  <c r="I119" i="1"/>
  <c r="G120" i="1"/>
  <c r="H120" i="1"/>
  <c r="I120" i="1"/>
  <c r="G121" i="1"/>
  <c r="H121" i="1"/>
  <c r="I121" i="1"/>
  <c r="G122" i="1"/>
  <c r="H122" i="1"/>
  <c r="I122" i="1"/>
  <c r="G123" i="1"/>
  <c r="H123" i="1"/>
  <c r="I123" i="1"/>
  <c r="G124" i="1"/>
  <c r="H124" i="1"/>
  <c r="I124" i="1"/>
  <c r="G125" i="1"/>
  <c r="H125" i="1"/>
  <c r="I125" i="1"/>
  <c r="G126" i="1"/>
  <c r="H126" i="1"/>
  <c r="I126" i="1"/>
  <c r="G127" i="1"/>
  <c r="H127" i="1"/>
  <c r="I127" i="1"/>
  <c r="G128" i="1"/>
  <c r="H128" i="1"/>
  <c r="I128" i="1"/>
  <c r="G129" i="1"/>
  <c r="H129" i="1"/>
  <c r="I129" i="1"/>
  <c r="G130" i="1"/>
  <c r="H130" i="1"/>
  <c r="I130" i="1"/>
  <c r="G131" i="1"/>
  <c r="H131" i="1"/>
  <c r="I131" i="1"/>
  <c r="G132" i="1"/>
  <c r="H132" i="1"/>
  <c r="I132" i="1"/>
  <c r="G133" i="1"/>
  <c r="H133" i="1"/>
  <c r="I133" i="1"/>
  <c r="G134" i="1"/>
  <c r="H134" i="1"/>
  <c r="I134" i="1"/>
  <c r="G135" i="1"/>
  <c r="H135" i="1"/>
  <c r="I135" i="1"/>
  <c r="G136" i="1"/>
  <c r="H136" i="1"/>
  <c r="I136" i="1"/>
  <c r="G137" i="1"/>
  <c r="H137" i="1"/>
  <c r="I137" i="1"/>
  <c r="G138" i="1"/>
  <c r="H138" i="1"/>
  <c r="I138" i="1"/>
  <c r="G139" i="1"/>
  <c r="H139" i="1"/>
  <c r="I139" i="1"/>
  <c r="G140" i="1"/>
  <c r="H140" i="1"/>
  <c r="I140" i="1"/>
  <c r="G141" i="1"/>
  <c r="H141" i="1"/>
  <c r="I141" i="1"/>
  <c r="G142" i="1"/>
  <c r="H142" i="1"/>
  <c r="I142" i="1"/>
  <c r="G143" i="1"/>
  <c r="H143" i="1"/>
  <c r="I143" i="1"/>
  <c r="G144" i="1"/>
  <c r="H144" i="1"/>
  <c r="I144" i="1"/>
  <c r="G145" i="1"/>
  <c r="H145" i="1"/>
  <c r="I145" i="1"/>
  <c r="G146" i="1"/>
  <c r="H146" i="1"/>
  <c r="I146" i="1"/>
  <c r="G147" i="1"/>
  <c r="H147" i="1"/>
  <c r="I147" i="1"/>
  <c r="G148" i="1"/>
  <c r="H148" i="1"/>
  <c r="I148" i="1"/>
  <c r="G149" i="1"/>
  <c r="H149" i="1"/>
  <c r="I149" i="1"/>
  <c r="G150" i="1"/>
  <c r="H150" i="1"/>
  <c r="I150" i="1"/>
  <c r="G151" i="1"/>
  <c r="H151" i="1"/>
  <c r="I151" i="1"/>
  <c r="G152" i="1"/>
  <c r="H152" i="1"/>
  <c r="I152" i="1"/>
  <c r="G153" i="1"/>
  <c r="H153" i="1"/>
  <c r="I153" i="1"/>
  <c r="G154" i="1"/>
  <c r="H154" i="1"/>
  <c r="I154" i="1"/>
  <c r="G155" i="1"/>
  <c r="H155" i="1"/>
  <c r="I155" i="1"/>
  <c r="G156" i="1"/>
  <c r="H156" i="1"/>
  <c r="I156" i="1"/>
  <c r="G157" i="1"/>
  <c r="H157" i="1"/>
  <c r="I157" i="1"/>
  <c r="G158" i="1"/>
  <c r="H158" i="1"/>
  <c r="I158" i="1"/>
  <c r="G159" i="1"/>
  <c r="H159" i="1"/>
  <c r="I159" i="1"/>
  <c r="G160" i="1"/>
  <c r="H160" i="1"/>
  <c r="I160" i="1"/>
  <c r="G161" i="1"/>
  <c r="H161" i="1"/>
  <c r="I161" i="1"/>
  <c r="G162" i="1"/>
  <c r="H162" i="1"/>
  <c r="I162" i="1"/>
  <c r="G163" i="1"/>
  <c r="H163" i="1"/>
  <c r="I163" i="1"/>
  <c r="G164" i="1"/>
  <c r="H164" i="1"/>
  <c r="I164" i="1"/>
  <c r="G165" i="1"/>
  <c r="H165" i="1"/>
  <c r="I165" i="1"/>
  <c r="G166" i="1"/>
  <c r="H166" i="1"/>
  <c r="I166" i="1"/>
  <c r="G167" i="1"/>
  <c r="H167" i="1"/>
  <c r="I167" i="1"/>
  <c r="G168" i="1"/>
  <c r="H168" i="1"/>
  <c r="I168" i="1"/>
  <c r="G169" i="1"/>
  <c r="H169" i="1"/>
  <c r="I169" i="1"/>
  <c r="G170" i="1"/>
  <c r="H170" i="1"/>
  <c r="I170" i="1"/>
  <c r="G171" i="1"/>
  <c r="H171" i="1"/>
  <c r="I171" i="1"/>
  <c r="G172" i="1"/>
  <c r="H172" i="1"/>
  <c r="I172" i="1"/>
  <c r="G173" i="1"/>
  <c r="H173" i="1"/>
  <c r="I173" i="1"/>
  <c r="G174" i="1"/>
  <c r="H174" i="1"/>
  <c r="I174" i="1"/>
  <c r="G175" i="1"/>
  <c r="H175" i="1"/>
  <c r="I175" i="1"/>
  <c r="G176" i="1"/>
  <c r="H176" i="1"/>
  <c r="I176" i="1"/>
  <c r="G177" i="1"/>
  <c r="H177" i="1"/>
  <c r="I177" i="1"/>
  <c r="G178" i="1"/>
  <c r="H178" i="1"/>
  <c r="I178" i="1"/>
  <c r="G179" i="1"/>
  <c r="H179" i="1"/>
  <c r="I179" i="1"/>
  <c r="G180" i="1"/>
  <c r="H180" i="1"/>
  <c r="I180" i="1"/>
  <c r="G181" i="1"/>
  <c r="H181" i="1"/>
  <c r="I181" i="1"/>
  <c r="G182" i="1"/>
  <c r="H182" i="1"/>
  <c r="I182" i="1"/>
  <c r="G183" i="1"/>
  <c r="H183" i="1"/>
  <c r="I183" i="1"/>
  <c r="G184" i="1"/>
  <c r="H184" i="1"/>
  <c r="I184" i="1"/>
  <c r="G185" i="1"/>
  <c r="H185" i="1"/>
  <c r="I185" i="1"/>
  <c r="G186" i="1"/>
  <c r="H186" i="1"/>
  <c r="I186" i="1"/>
  <c r="G187" i="1"/>
  <c r="H187" i="1"/>
  <c r="I187" i="1"/>
  <c r="G188" i="1"/>
  <c r="H188" i="1"/>
  <c r="I188" i="1"/>
  <c r="G189" i="1"/>
  <c r="H189" i="1"/>
  <c r="I189" i="1"/>
  <c r="G190" i="1"/>
  <c r="H190" i="1"/>
  <c r="I190" i="1"/>
  <c r="G191" i="1"/>
  <c r="H191" i="1"/>
  <c r="I191" i="1"/>
  <c r="G192" i="1"/>
  <c r="H192" i="1"/>
  <c r="I192" i="1"/>
  <c r="G193" i="1"/>
  <c r="H193" i="1"/>
  <c r="I193" i="1"/>
  <c r="G194" i="1"/>
  <c r="H194" i="1"/>
  <c r="I194" i="1"/>
  <c r="G195" i="1"/>
  <c r="H195" i="1"/>
  <c r="I195" i="1"/>
  <c r="G196" i="1"/>
  <c r="H196" i="1"/>
  <c r="I196" i="1"/>
  <c r="G197" i="1"/>
  <c r="H197" i="1"/>
  <c r="I197" i="1"/>
  <c r="G198" i="1"/>
  <c r="H198" i="1"/>
  <c r="I198" i="1"/>
  <c r="G199" i="1"/>
  <c r="H199" i="1"/>
  <c r="I199" i="1"/>
  <c r="G200" i="1"/>
  <c r="H200" i="1"/>
  <c r="I200" i="1"/>
  <c r="G201" i="1"/>
  <c r="H201" i="1"/>
  <c r="I201" i="1"/>
  <c r="G202" i="1"/>
  <c r="H202" i="1"/>
  <c r="I202" i="1"/>
  <c r="G203" i="1"/>
  <c r="H203" i="1"/>
  <c r="I203" i="1"/>
  <c r="G204" i="1"/>
  <c r="H204" i="1"/>
  <c r="I204" i="1"/>
  <c r="G205" i="1"/>
  <c r="H205" i="1"/>
  <c r="I205" i="1"/>
  <c r="G206" i="1"/>
  <c r="H206" i="1"/>
  <c r="I206" i="1"/>
  <c r="G207" i="1"/>
  <c r="H207" i="1"/>
  <c r="I207" i="1"/>
  <c r="G208" i="1"/>
  <c r="H208" i="1"/>
  <c r="I208" i="1"/>
  <c r="G209" i="1"/>
  <c r="H209" i="1"/>
  <c r="I209" i="1"/>
  <c r="G210" i="1"/>
  <c r="H210" i="1"/>
  <c r="I210" i="1"/>
  <c r="G211" i="1"/>
  <c r="H211" i="1"/>
  <c r="I211" i="1"/>
  <c r="G212" i="1"/>
  <c r="H212" i="1"/>
  <c r="I212" i="1"/>
  <c r="G213" i="1"/>
  <c r="H213" i="1"/>
  <c r="I213" i="1"/>
  <c r="G214" i="1"/>
  <c r="H214" i="1"/>
  <c r="I214" i="1"/>
  <c r="G215" i="1"/>
  <c r="H215" i="1"/>
  <c r="I215" i="1"/>
  <c r="G216" i="1"/>
  <c r="H216" i="1"/>
  <c r="I216" i="1"/>
  <c r="G217" i="1"/>
  <c r="H217" i="1"/>
  <c r="I217" i="1"/>
  <c r="G218" i="1"/>
  <c r="H218" i="1"/>
  <c r="I218" i="1"/>
  <c r="G219" i="1"/>
  <c r="H219" i="1"/>
  <c r="I219" i="1"/>
  <c r="G220" i="1"/>
  <c r="H220" i="1"/>
  <c r="I220" i="1"/>
  <c r="G221" i="1"/>
  <c r="H221" i="1"/>
  <c r="I221" i="1"/>
  <c r="G222" i="1"/>
  <c r="H222" i="1"/>
  <c r="I222" i="1"/>
  <c r="G223" i="1"/>
  <c r="H223" i="1"/>
  <c r="I223" i="1"/>
  <c r="G224" i="1"/>
  <c r="H224" i="1"/>
  <c r="I224" i="1"/>
  <c r="G225" i="1"/>
  <c r="H225" i="1"/>
  <c r="I225" i="1"/>
  <c r="G226" i="1"/>
  <c r="H226" i="1"/>
  <c r="I226" i="1"/>
  <c r="G227" i="1"/>
  <c r="H227" i="1"/>
  <c r="I227" i="1"/>
  <c r="G228" i="1"/>
  <c r="H228" i="1"/>
  <c r="I228" i="1"/>
  <c r="G229" i="1"/>
  <c r="H229" i="1"/>
  <c r="I229" i="1"/>
  <c r="G230" i="1"/>
  <c r="H230" i="1"/>
  <c r="I230" i="1"/>
  <c r="G231" i="1"/>
  <c r="H231" i="1"/>
  <c r="I231" i="1"/>
  <c r="G232" i="1"/>
  <c r="H232" i="1"/>
  <c r="I232" i="1"/>
  <c r="G233" i="1"/>
  <c r="H233" i="1"/>
  <c r="I233" i="1"/>
  <c r="G234" i="1"/>
  <c r="H234" i="1"/>
  <c r="I234" i="1"/>
  <c r="G235" i="1"/>
  <c r="H235" i="1"/>
  <c r="I235" i="1"/>
  <c r="G236" i="1"/>
  <c r="H236" i="1"/>
  <c r="I236" i="1"/>
  <c r="G237" i="1"/>
  <c r="H237" i="1"/>
  <c r="I237" i="1"/>
  <c r="G238" i="1"/>
  <c r="H238" i="1"/>
  <c r="I238" i="1"/>
  <c r="G239" i="1"/>
  <c r="H239" i="1"/>
  <c r="I239" i="1"/>
  <c r="G240" i="1"/>
  <c r="H240" i="1"/>
  <c r="I240" i="1"/>
  <c r="G241" i="1"/>
  <c r="H241" i="1"/>
  <c r="I241" i="1"/>
  <c r="G242" i="1"/>
  <c r="H242" i="1"/>
  <c r="I242" i="1"/>
  <c r="G243" i="1"/>
  <c r="H243" i="1"/>
  <c r="I243" i="1"/>
  <c r="G244" i="1"/>
  <c r="H244" i="1"/>
  <c r="I244" i="1"/>
  <c r="G245" i="1"/>
  <c r="H245" i="1"/>
  <c r="I245" i="1"/>
  <c r="G246" i="1"/>
  <c r="H246" i="1"/>
  <c r="I246" i="1"/>
  <c r="G247" i="1"/>
  <c r="H247" i="1"/>
  <c r="I247" i="1"/>
  <c r="G248" i="1"/>
  <c r="H248" i="1"/>
  <c r="I248" i="1"/>
  <c r="G249" i="1"/>
  <c r="H249" i="1"/>
  <c r="I249" i="1"/>
  <c r="G250" i="1"/>
  <c r="H250" i="1"/>
  <c r="I250" i="1"/>
  <c r="G251" i="1"/>
  <c r="H251" i="1"/>
  <c r="I251" i="1"/>
  <c r="G252" i="1"/>
  <c r="H252" i="1"/>
  <c r="I252" i="1"/>
  <c r="G253" i="1"/>
  <c r="H253" i="1"/>
  <c r="I253" i="1"/>
  <c r="G254" i="1"/>
  <c r="H254" i="1"/>
  <c r="I254" i="1"/>
  <c r="G255" i="1"/>
  <c r="H255" i="1"/>
  <c r="I255" i="1"/>
  <c r="G256" i="1"/>
  <c r="H256" i="1"/>
  <c r="I256" i="1"/>
  <c r="G257" i="1"/>
  <c r="H257" i="1"/>
  <c r="I257" i="1"/>
  <c r="G258" i="1"/>
  <c r="H258" i="1"/>
  <c r="I258" i="1"/>
  <c r="G259" i="1"/>
  <c r="H259" i="1"/>
  <c r="I259" i="1"/>
  <c r="G260" i="1"/>
  <c r="H260" i="1"/>
  <c r="I260" i="1"/>
  <c r="G261" i="1"/>
  <c r="H261" i="1"/>
  <c r="I261" i="1"/>
  <c r="G262" i="1"/>
  <c r="H262" i="1"/>
  <c r="I262" i="1"/>
  <c r="G263" i="1"/>
  <c r="H263" i="1"/>
  <c r="I263" i="1"/>
  <c r="G264" i="1"/>
  <c r="H264" i="1"/>
  <c r="I264" i="1"/>
  <c r="G265" i="1"/>
  <c r="H265" i="1"/>
  <c r="I265" i="1"/>
  <c r="G266" i="1"/>
  <c r="H266" i="1"/>
  <c r="I266" i="1"/>
  <c r="G267" i="1"/>
  <c r="H267" i="1"/>
  <c r="I267" i="1"/>
  <c r="G268" i="1"/>
  <c r="H268" i="1"/>
  <c r="I268" i="1"/>
  <c r="G269" i="1"/>
  <c r="H269" i="1"/>
  <c r="I269" i="1"/>
  <c r="G270" i="1"/>
  <c r="H270" i="1"/>
  <c r="I270" i="1"/>
  <c r="G271" i="1"/>
  <c r="H271" i="1"/>
  <c r="I271" i="1"/>
  <c r="G272" i="1"/>
  <c r="H272" i="1"/>
  <c r="I272" i="1"/>
  <c r="G273" i="1"/>
  <c r="H273" i="1"/>
  <c r="I273" i="1"/>
  <c r="G274" i="1"/>
  <c r="H274" i="1"/>
  <c r="I274" i="1"/>
  <c r="G275" i="1"/>
  <c r="H275" i="1"/>
  <c r="I275" i="1"/>
  <c r="G276" i="1"/>
  <c r="H276" i="1"/>
  <c r="I276" i="1"/>
  <c r="G277" i="1"/>
  <c r="H277" i="1"/>
  <c r="I277" i="1"/>
  <c r="G278" i="1"/>
  <c r="H278" i="1"/>
  <c r="I278" i="1"/>
  <c r="G279" i="1"/>
  <c r="H279" i="1"/>
  <c r="I279" i="1"/>
  <c r="G280" i="1"/>
  <c r="H280" i="1"/>
  <c r="I280" i="1"/>
  <c r="G281" i="1"/>
  <c r="H281" i="1"/>
  <c r="I281" i="1"/>
  <c r="G282" i="1"/>
  <c r="H282" i="1"/>
  <c r="I282" i="1"/>
  <c r="G283" i="1"/>
  <c r="H283" i="1"/>
  <c r="I283" i="1"/>
  <c r="G284" i="1"/>
  <c r="H284" i="1"/>
  <c r="I284" i="1"/>
  <c r="G285" i="1"/>
  <c r="H285" i="1"/>
  <c r="I285" i="1"/>
  <c r="G286" i="1"/>
  <c r="H286" i="1"/>
  <c r="I286" i="1"/>
  <c r="G287" i="1"/>
  <c r="H287" i="1"/>
  <c r="I287" i="1"/>
  <c r="G288" i="1"/>
  <c r="H288" i="1"/>
  <c r="I288" i="1"/>
  <c r="G289" i="1"/>
  <c r="H289" i="1"/>
  <c r="I289" i="1"/>
  <c r="G290" i="1"/>
  <c r="H290" i="1"/>
  <c r="I290" i="1"/>
  <c r="G291" i="1"/>
  <c r="H291" i="1"/>
  <c r="I291" i="1"/>
  <c r="G292" i="1"/>
  <c r="H292" i="1"/>
  <c r="I292" i="1"/>
  <c r="G293" i="1"/>
  <c r="H293" i="1"/>
  <c r="I293" i="1"/>
  <c r="G294" i="1"/>
  <c r="H294" i="1"/>
  <c r="I294" i="1"/>
  <c r="G295" i="1"/>
  <c r="H295" i="1"/>
  <c r="I295" i="1"/>
  <c r="G296" i="1"/>
  <c r="H296" i="1"/>
  <c r="I296" i="1"/>
  <c r="G297" i="1"/>
  <c r="H297" i="1"/>
  <c r="I297" i="1"/>
  <c r="G298" i="1"/>
  <c r="H298" i="1"/>
  <c r="I298" i="1"/>
  <c r="G299" i="1"/>
  <c r="H299" i="1"/>
  <c r="I299" i="1"/>
  <c r="G300" i="1"/>
  <c r="H300" i="1"/>
  <c r="I300" i="1"/>
  <c r="G301" i="1"/>
  <c r="H301" i="1"/>
  <c r="I301" i="1"/>
  <c r="G302" i="1"/>
  <c r="H302" i="1"/>
  <c r="I302" i="1"/>
  <c r="G303" i="1"/>
  <c r="H303" i="1"/>
  <c r="I303" i="1"/>
  <c r="G304" i="1"/>
  <c r="H304" i="1"/>
  <c r="I304" i="1"/>
  <c r="G305" i="1"/>
  <c r="H305" i="1"/>
  <c r="I305" i="1"/>
  <c r="G306" i="1"/>
  <c r="H306" i="1"/>
  <c r="I306" i="1"/>
  <c r="G307" i="1"/>
  <c r="H307" i="1"/>
  <c r="I307" i="1"/>
  <c r="G308" i="1"/>
  <c r="H308" i="1"/>
  <c r="I308" i="1"/>
  <c r="G309" i="1"/>
  <c r="H309" i="1"/>
  <c r="I309" i="1"/>
  <c r="G310" i="1"/>
  <c r="H310" i="1"/>
  <c r="I310" i="1"/>
  <c r="G311" i="1"/>
  <c r="H311" i="1"/>
  <c r="I311" i="1"/>
  <c r="G312" i="1"/>
  <c r="H312" i="1"/>
  <c r="I312" i="1"/>
  <c r="G313" i="1"/>
  <c r="H313" i="1"/>
  <c r="I313" i="1"/>
  <c r="G314" i="1"/>
  <c r="H314" i="1"/>
  <c r="I314" i="1"/>
  <c r="G315" i="1"/>
  <c r="H315" i="1"/>
  <c r="I315" i="1"/>
  <c r="G316" i="1"/>
  <c r="H316" i="1"/>
  <c r="I316" i="1"/>
  <c r="G317" i="1"/>
  <c r="H317" i="1"/>
  <c r="I317" i="1"/>
  <c r="G318" i="1"/>
  <c r="H318" i="1"/>
  <c r="I318" i="1"/>
  <c r="G319" i="1"/>
  <c r="H319" i="1"/>
  <c r="I319" i="1"/>
  <c r="G320" i="1"/>
  <c r="H320" i="1"/>
  <c r="I320" i="1"/>
  <c r="G321" i="1"/>
  <c r="H321" i="1"/>
  <c r="I321" i="1"/>
  <c r="G322" i="1"/>
  <c r="H322" i="1"/>
  <c r="I322" i="1"/>
  <c r="G323" i="1"/>
  <c r="H323" i="1"/>
  <c r="I323" i="1"/>
  <c r="G324" i="1"/>
  <c r="H324" i="1"/>
  <c r="I324" i="1"/>
  <c r="G325" i="1"/>
  <c r="H325" i="1"/>
  <c r="I325" i="1"/>
  <c r="G326" i="1"/>
  <c r="H326" i="1"/>
  <c r="I326" i="1"/>
  <c r="G327" i="1"/>
  <c r="H327" i="1"/>
  <c r="I327" i="1"/>
  <c r="G328" i="1"/>
  <c r="H328" i="1"/>
  <c r="I328" i="1"/>
  <c r="G329" i="1"/>
  <c r="H329" i="1"/>
  <c r="I329" i="1"/>
  <c r="G330" i="1"/>
  <c r="H330" i="1"/>
  <c r="I330" i="1"/>
  <c r="G331" i="1"/>
  <c r="H331" i="1"/>
  <c r="I331" i="1"/>
  <c r="G332" i="1"/>
  <c r="H332" i="1"/>
  <c r="I332" i="1"/>
  <c r="G333" i="1"/>
  <c r="H333" i="1"/>
  <c r="I333" i="1"/>
  <c r="G334" i="1"/>
  <c r="H334" i="1"/>
  <c r="I334" i="1"/>
  <c r="G335" i="1"/>
  <c r="H335" i="1"/>
  <c r="I335" i="1"/>
  <c r="G336" i="1"/>
  <c r="H336" i="1"/>
  <c r="I336" i="1"/>
  <c r="G337" i="1"/>
  <c r="H337" i="1"/>
  <c r="I337" i="1"/>
  <c r="G338" i="1"/>
  <c r="H338" i="1"/>
  <c r="I338" i="1"/>
  <c r="G339" i="1"/>
  <c r="H339" i="1"/>
  <c r="I339" i="1"/>
  <c r="G340" i="1"/>
  <c r="H340" i="1"/>
  <c r="I340" i="1"/>
  <c r="G341" i="1"/>
  <c r="H341" i="1"/>
  <c r="I341" i="1"/>
  <c r="G342" i="1"/>
  <c r="H342" i="1"/>
  <c r="I342" i="1"/>
  <c r="G343" i="1"/>
  <c r="H343" i="1"/>
  <c r="I343" i="1"/>
  <c r="G344" i="1"/>
  <c r="H344" i="1"/>
  <c r="I344" i="1"/>
  <c r="G345" i="1"/>
  <c r="H345" i="1"/>
  <c r="I345" i="1"/>
  <c r="G346" i="1"/>
  <c r="H346" i="1"/>
  <c r="I346" i="1"/>
  <c r="G347" i="1"/>
  <c r="H347" i="1"/>
  <c r="I347" i="1"/>
  <c r="G348" i="1"/>
  <c r="H348" i="1"/>
  <c r="I348" i="1"/>
  <c r="G349" i="1"/>
  <c r="H349" i="1"/>
  <c r="I349" i="1"/>
  <c r="G350" i="1"/>
  <c r="H350" i="1"/>
  <c r="I350" i="1"/>
  <c r="G351" i="1"/>
  <c r="H351" i="1"/>
  <c r="I351" i="1"/>
  <c r="G352" i="1"/>
  <c r="H352" i="1"/>
  <c r="I352" i="1"/>
  <c r="G353" i="1"/>
  <c r="H353" i="1"/>
  <c r="I353" i="1"/>
  <c r="G354" i="1"/>
  <c r="H354" i="1"/>
  <c r="I354" i="1"/>
  <c r="G355" i="1"/>
  <c r="H355" i="1"/>
  <c r="I355" i="1"/>
  <c r="G356" i="1"/>
  <c r="H356" i="1"/>
  <c r="I356" i="1"/>
  <c r="G357" i="1"/>
  <c r="H357" i="1"/>
  <c r="I357" i="1"/>
  <c r="G358" i="1"/>
  <c r="H358" i="1"/>
  <c r="I358" i="1"/>
  <c r="G359" i="1"/>
  <c r="H359" i="1"/>
  <c r="I359" i="1"/>
  <c r="G360" i="1"/>
  <c r="H360" i="1"/>
  <c r="I360" i="1"/>
  <c r="G361" i="1"/>
  <c r="H361" i="1"/>
  <c r="I361" i="1"/>
  <c r="G362" i="1"/>
  <c r="H362" i="1"/>
  <c r="I362" i="1"/>
  <c r="G363" i="1"/>
  <c r="H363" i="1"/>
  <c r="I363" i="1"/>
  <c r="G364" i="1"/>
  <c r="H364" i="1"/>
  <c r="I364" i="1"/>
  <c r="G365" i="1"/>
  <c r="H365" i="1"/>
  <c r="I365" i="1"/>
  <c r="G366" i="1"/>
  <c r="H366" i="1"/>
  <c r="I366" i="1"/>
  <c r="G367" i="1"/>
  <c r="H367" i="1"/>
  <c r="I367" i="1"/>
  <c r="G368" i="1"/>
  <c r="H368" i="1"/>
  <c r="I368" i="1"/>
  <c r="G369" i="1"/>
  <c r="H369" i="1"/>
  <c r="I369" i="1"/>
  <c r="G370" i="1"/>
  <c r="H370" i="1"/>
  <c r="I370" i="1"/>
  <c r="G371" i="1"/>
  <c r="H371" i="1"/>
  <c r="I371" i="1"/>
  <c r="G372" i="1"/>
  <c r="H372" i="1"/>
  <c r="I372" i="1"/>
  <c r="G373" i="1"/>
  <c r="H373" i="1"/>
  <c r="I373" i="1"/>
  <c r="G374" i="1"/>
  <c r="H374" i="1"/>
  <c r="I374" i="1"/>
  <c r="G375" i="1"/>
  <c r="H375" i="1"/>
  <c r="I375" i="1"/>
  <c r="G376" i="1"/>
  <c r="H376" i="1"/>
  <c r="I376" i="1"/>
  <c r="G377" i="1"/>
  <c r="H377" i="1"/>
  <c r="I377" i="1"/>
  <c r="G378" i="1"/>
  <c r="H378" i="1"/>
  <c r="I378" i="1"/>
  <c r="G379" i="1"/>
  <c r="H379" i="1"/>
  <c r="I379" i="1"/>
  <c r="G380" i="1"/>
  <c r="H380" i="1"/>
  <c r="I380" i="1"/>
  <c r="G381" i="1"/>
  <c r="H381" i="1"/>
  <c r="I381" i="1"/>
  <c r="G382" i="1"/>
  <c r="H382" i="1"/>
  <c r="I382" i="1"/>
  <c r="G383" i="1"/>
  <c r="H383" i="1"/>
  <c r="I383" i="1"/>
  <c r="G384" i="1"/>
  <c r="H384" i="1"/>
  <c r="I384" i="1"/>
  <c r="G385" i="1"/>
  <c r="H385" i="1"/>
  <c r="I385" i="1"/>
  <c r="G386" i="1"/>
  <c r="H386" i="1"/>
  <c r="I386" i="1"/>
  <c r="G387" i="1"/>
  <c r="H387" i="1"/>
  <c r="I387" i="1"/>
  <c r="G388" i="1"/>
  <c r="H388" i="1"/>
  <c r="I388" i="1"/>
  <c r="G389" i="1"/>
  <c r="H389" i="1"/>
  <c r="I389" i="1"/>
  <c r="G390" i="1"/>
  <c r="H390" i="1"/>
  <c r="I390" i="1"/>
  <c r="G391" i="1"/>
  <c r="H391" i="1"/>
  <c r="I391" i="1"/>
  <c r="G392" i="1"/>
  <c r="H392" i="1"/>
  <c r="I392" i="1"/>
  <c r="G393" i="1"/>
  <c r="H393" i="1"/>
  <c r="I393" i="1"/>
  <c r="G394" i="1"/>
  <c r="H394" i="1"/>
  <c r="I394" i="1"/>
  <c r="G395" i="1"/>
  <c r="H395" i="1"/>
  <c r="I395" i="1"/>
  <c r="G396" i="1"/>
  <c r="H396" i="1"/>
  <c r="I396" i="1"/>
  <c r="G397" i="1"/>
  <c r="H397" i="1"/>
  <c r="I397" i="1"/>
  <c r="G398" i="1"/>
  <c r="H398" i="1"/>
  <c r="I398" i="1"/>
  <c r="G399" i="1"/>
  <c r="H399" i="1"/>
  <c r="I399" i="1"/>
  <c r="G400" i="1"/>
  <c r="H400" i="1"/>
  <c r="I400" i="1"/>
  <c r="G401" i="1"/>
  <c r="H401" i="1"/>
  <c r="I401" i="1"/>
  <c r="G402" i="1"/>
  <c r="H402" i="1"/>
  <c r="I402" i="1"/>
  <c r="G403" i="1"/>
  <c r="H403" i="1"/>
  <c r="I403" i="1"/>
  <c r="G404" i="1"/>
  <c r="H404" i="1"/>
  <c r="I404" i="1"/>
  <c r="G405" i="1"/>
  <c r="H405" i="1"/>
  <c r="I405" i="1"/>
  <c r="G406" i="1"/>
  <c r="H406" i="1"/>
  <c r="I406" i="1"/>
  <c r="G407" i="1"/>
  <c r="H407" i="1"/>
  <c r="I407" i="1"/>
  <c r="G408" i="1"/>
  <c r="H408" i="1"/>
  <c r="I408" i="1"/>
  <c r="G409" i="1"/>
  <c r="H409" i="1"/>
  <c r="I409" i="1"/>
  <c r="G410" i="1"/>
  <c r="H410" i="1"/>
  <c r="I410" i="1"/>
  <c r="G411" i="1"/>
  <c r="H411" i="1"/>
  <c r="I411" i="1"/>
  <c r="G412" i="1"/>
  <c r="H412" i="1"/>
  <c r="I412" i="1"/>
  <c r="G413" i="1"/>
  <c r="H413" i="1"/>
  <c r="I413" i="1"/>
  <c r="G414" i="1"/>
  <c r="H414" i="1"/>
  <c r="I414" i="1"/>
  <c r="G415" i="1"/>
  <c r="H415" i="1"/>
  <c r="I415" i="1"/>
  <c r="G416" i="1"/>
  <c r="H416" i="1"/>
  <c r="I416" i="1"/>
  <c r="G417" i="1"/>
  <c r="H417" i="1"/>
  <c r="I417" i="1"/>
  <c r="G418" i="1"/>
  <c r="H418" i="1"/>
  <c r="I418" i="1"/>
  <c r="G419" i="1"/>
  <c r="H419" i="1"/>
  <c r="I419" i="1"/>
  <c r="G420" i="1"/>
  <c r="H420" i="1"/>
  <c r="I420" i="1"/>
  <c r="G421" i="1"/>
  <c r="H421" i="1"/>
  <c r="I421" i="1"/>
  <c r="G422" i="1"/>
  <c r="H422" i="1"/>
  <c r="I422" i="1"/>
  <c r="G423" i="1"/>
  <c r="H423" i="1"/>
  <c r="I423" i="1"/>
  <c r="G424" i="1"/>
  <c r="H424" i="1"/>
  <c r="I424" i="1"/>
  <c r="G425" i="1"/>
  <c r="H425" i="1"/>
  <c r="I425" i="1"/>
  <c r="G426" i="1"/>
  <c r="H426" i="1"/>
  <c r="I426" i="1"/>
  <c r="G427" i="1"/>
  <c r="H427" i="1"/>
  <c r="I427" i="1"/>
  <c r="G428" i="1"/>
  <c r="H428" i="1"/>
  <c r="I428" i="1"/>
  <c r="G429" i="1"/>
  <c r="H429" i="1"/>
  <c r="I429" i="1"/>
  <c r="G430" i="1"/>
  <c r="H430" i="1"/>
  <c r="I430" i="1"/>
  <c r="G431" i="1"/>
  <c r="H431" i="1"/>
  <c r="I431" i="1"/>
  <c r="G432" i="1"/>
  <c r="H432" i="1"/>
  <c r="I432" i="1"/>
  <c r="G433" i="1"/>
  <c r="H433" i="1"/>
  <c r="I433" i="1"/>
  <c r="G434" i="1"/>
  <c r="H434" i="1"/>
  <c r="I434" i="1"/>
  <c r="G435" i="1"/>
  <c r="H435" i="1"/>
  <c r="I435" i="1"/>
  <c r="G436" i="1"/>
  <c r="H436" i="1"/>
  <c r="I436" i="1"/>
  <c r="G437" i="1"/>
  <c r="H437" i="1"/>
  <c r="I437" i="1"/>
  <c r="G438" i="1"/>
  <c r="H438" i="1"/>
  <c r="I438" i="1"/>
  <c r="G439" i="1"/>
  <c r="H439" i="1"/>
  <c r="I439" i="1"/>
  <c r="G440" i="1"/>
  <c r="H440" i="1"/>
  <c r="I440" i="1"/>
  <c r="G441" i="1"/>
  <c r="H441" i="1"/>
  <c r="I441" i="1"/>
  <c r="G442" i="1"/>
  <c r="H442" i="1"/>
  <c r="I442" i="1"/>
  <c r="G443" i="1"/>
  <c r="H443" i="1"/>
  <c r="I443" i="1"/>
  <c r="G444" i="1"/>
  <c r="H444" i="1"/>
  <c r="I444" i="1"/>
  <c r="G445" i="1"/>
  <c r="H445" i="1"/>
  <c r="I445" i="1"/>
  <c r="G446" i="1"/>
  <c r="H446" i="1"/>
  <c r="I446" i="1"/>
  <c r="G447" i="1"/>
  <c r="H447" i="1"/>
  <c r="I447" i="1"/>
  <c r="G448" i="1"/>
  <c r="H448" i="1"/>
  <c r="I448" i="1"/>
  <c r="G449" i="1"/>
  <c r="H449" i="1"/>
  <c r="I449" i="1"/>
  <c r="G450" i="1"/>
  <c r="H450" i="1"/>
  <c r="I450" i="1"/>
  <c r="G451" i="1"/>
  <c r="H451" i="1"/>
  <c r="I451" i="1"/>
  <c r="G452" i="1"/>
  <c r="H452" i="1"/>
  <c r="I452" i="1"/>
  <c r="G453" i="1"/>
  <c r="H453" i="1"/>
  <c r="I453" i="1"/>
  <c r="G454" i="1"/>
  <c r="H454" i="1"/>
  <c r="I454" i="1"/>
  <c r="G455" i="1"/>
  <c r="H455" i="1"/>
  <c r="I455" i="1"/>
  <c r="G456" i="1"/>
  <c r="H456" i="1"/>
  <c r="I456" i="1"/>
  <c r="G457" i="1"/>
  <c r="H457" i="1"/>
  <c r="I457" i="1"/>
  <c r="G458" i="1"/>
  <c r="H458" i="1"/>
  <c r="I458" i="1"/>
  <c r="G459" i="1"/>
  <c r="H459" i="1"/>
  <c r="I459" i="1"/>
  <c r="G460" i="1"/>
  <c r="H460" i="1"/>
  <c r="I460" i="1"/>
  <c r="G461" i="1"/>
  <c r="H461" i="1"/>
  <c r="I461" i="1"/>
  <c r="G462" i="1"/>
  <c r="H462" i="1"/>
  <c r="I462" i="1"/>
  <c r="G463" i="1"/>
  <c r="H463" i="1"/>
  <c r="I463" i="1"/>
  <c r="G464" i="1"/>
  <c r="H464" i="1"/>
  <c r="I464" i="1"/>
  <c r="G465" i="1"/>
  <c r="H465" i="1"/>
  <c r="I465" i="1"/>
  <c r="G466" i="1"/>
  <c r="H466" i="1"/>
  <c r="I466" i="1"/>
  <c r="G467" i="1"/>
  <c r="H467" i="1"/>
  <c r="I467" i="1"/>
  <c r="G468" i="1"/>
  <c r="H468" i="1"/>
  <c r="I468" i="1"/>
  <c r="G469" i="1"/>
  <c r="H469" i="1"/>
  <c r="I469" i="1"/>
  <c r="G470" i="1"/>
  <c r="H470" i="1"/>
  <c r="I470" i="1"/>
  <c r="G471" i="1"/>
  <c r="H471" i="1"/>
  <c r="I471" i="1"/>
  <c r="G472" i="1"/>
  <c r="H472" i="1"/>
  <c r="I472" i="1"/>
  <c r="G473" i="1"/>
  <c r="H473" i="1"/>
  <c r="I473" i="1"/>
  <c r="G474" i="1"/>
  <c r="H474" i="1"/>
  <c r="I474" i="1"/>
  <c r="G475" i="1"/>
  <c r="H475" i="1"/>
  <c r="I475" i="1"/>
  <c r="G476" i="1"/>
  <c r="H476" i="1"/>
  <c r="I476" i="1"/>
  <c r="G477" i="1"/>
  <c r="H477" i="1"/>
  <c r="I477" i="1"/>
  <c r="G478" i="1"/>
  <c r="H478" i="1"/>
  <c r="I478" i="1"/>
  <c r="G479" i="1"/>
  <c r="H479" i="1"/>
  <c r="I479" i="1"/>
  <c r="G480" i="1"/>
  <c r="H480" i="1"/>
  <c r="I480" i="1"/>
  <c r="G481" i="1"/>
  <c r="H481" i="1"/>
  <c r="I481" i="1"/>
  <c r="G482" i="1"/>
  <c r="H482" i="1"/>
  <c r="I482" i="1"/>
  <c r="G3" i="1"/>
  <c r="P3" i="1" s="1"/>
  <c r="H3" i="1"/>
  <c r="I3" i="1"/>
  <c r="N5" i="1"/>
  <c r="N4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3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Z4" i="5" l="1"/>
  <c r="Z5" i="5"/>
  <c r="Z7" i="5"/>
  <c r="Z8" i="5"/>
  <c r="J16" i="5"/>
  <c r="J29" i="5"/>
  <c r="Z10" i="5"/>
  <c r="J13" i="5"/>
  <c r="J30" i="5"/>
  <c r="J3" i="5"/>
  <c r="Z12" i="5"/>
  <c r="Z11" i="5"/>
  <c r="Z6" i="5"/>
  <c r="J19" i="5"/>
  <c r="J27" i="5"/>
  <c r="J28" i="5"/>
  <c r="J18" i="5"/>
  <c r="J22" i="5"/>
  <c r="J26" i="5"/>
  <c r="Z9" i="5"/>
  <c r="Z15" i="5"/>
  <c r="Z3" i="5"/>
  <c r="J25" i="5"/>
  <c r="J20" i="5"/>
  <c r="J8" i="5"/>
  <c r="J24" i="5"/>
  <c r="J21" i="5"/>
  <c r="J23" i="5"/>
  <c r="J17" i="5"/>
  <c r="J11" i="5"/>
  <c r="J12" i="5"/>
  <c r="J15" i="5"/>
  <c r="J10" i="5"/>
  <c r="J14" i="5"/>
  <c r="J6" i="5"/>
  <c r="J9" i="5"/>
  <c r="J5" i="5"/>
  <c r="J4" i="5"/>
  <c r="J7" i="5"/>
  <c r="P482" i="1"/>
  <c r="Q482" i="1" s="1"/>
  <c r="P474" i="1"/>
  <c r="Q474" i="1" s="1"/>
  <c r="R474" i="1" s="1"/>
  <c r="T474" i="1" s="1"/>
  <c r="AB474" i="1" s="1"/>
  <c r="P466" i="1"/>
  <c r="Q466" i="1" s="1"/>
  <c r="R466" i="1" s="1"/>
  <c r="T466" i="1" s="1"/>
  <c r="AB466" i="1" s="1"/>
  <c r="P458" i="1"/>
  <c r="Q458" i="1" s="1"/>
  <c r="R458" i="1" s="1"/>
  <c r="Z458" i="1" s="1"/>
  <c r="P450" i="1"/>
  <c r="Q450" i="1" s="1"/>
  <c r="R450" i="1" s="1"/>
  <c r="Z450" i="1" s="1"/>
  <c r="P442" i="1"/>
  <c r="Q442" i="1" s="1"/>
  <c r="R442" i="1" s="1"/>
  <c r="P434" i="1"/>
  <c r="Q434" i="1" s="1"/>
  <c r="R434" i="1" s="1"/>
  <c r="Z434" i="1" s="1"/>
  <c r="P426" i="1"/>
  <c r="Q426" i="1" s="1"/>
  <c r="R426" i="1" s="1"/>
  <c r="U426" i="1" s="1"/>
  <c r="X426" i="1" s="1"/>
  <c r="P418" i="1"/>
  <c r="Q418" i="1" s="1"/>
  <c r="R418" i="1" s="1"/>
  <c r="AG418" i="1" s="1"/>
  <c r="P410" i="1"/>
  <c r="Q410" i="1" s="1"/>
  <c r="R410" i="1" s="1"/>
  <c r="P402" i="1"/>
  <c r="Q402" i="1" s="1"/>
  <c r="R402" i="1" s="1"/>
  <c r="Z402" i="1" s="1"/>
  <c r="P394" i="1"/>
  <c r="Q394" i="1" s="1"/>
  <c r="R394" i="1" s="1"/>
  <c r="Z394" i="1" s="1"/>
  <c r="P386" i="1"/>
  <c r="Q386" i="1" s="1"/>
  <c r="R386" i="1" s="1"/>
  <c r="Z386" i="1" s="1"/>
  <c r="P378" i="1"/>
  <c r="Q378" i="1" s="1"/>
  <c r="R378" i="1" s="1"/>
  <c r="P370" i="1"/>
  <c r="Q370" i="1" s="1"/>
  <c r="R370" i="1" s="1"/>
  <c r="V370" i="1" s="1"/>
  <c r="AI370" i="1" s="1"/>
  <c r="P362" i="1"/>
  <c r="Q362" i="1" s="1"/>
  <c r="R362" i="1" s="1"/>
  <c r="T362" i="1" s="1"/>
  <c r="AB362" i="1" s="1"/>
  <c r="P354" i="1"/>
  <c r="Q354" i="1" s="1"/>
  <c r="R354" i="1" s="1"/>
  <c r="U354" i="1" s="1"/>
  <c r="X354" i="1" s="1"/>
  <c r="P346" i="1"/>
  <c r="Q346" i="1" s="1"/>
  <c r="R346" i="1" s="1"/>
  <c r="P338" i="1"/>
  <c r="Q338" i="1" s="1"/>
  <c r="R338" i="1" s="1"/>
  <c r="Z338" i="1" s="1"/>
  <c r="P330" i="1"/>
  <c r="Q330" i="1" s="1"/>
  <c r="R330" i="1" s="1"/>
  <c r="V330" i="1" s="1"/>
  <c r="AI330" i="1" s="1"/>
  <c r="P322" i="1"/>
  <c r="Q322" i="1" s="1"/>
  <c r="R322" i="1" s="1"/>
  <c r="P314" i="1"/>
  <c r="Q314" i="1" s="1"/>
  <c r="R314" i="1" s="1"/>
  <c r="U314" i="1" s="1"/>
  <c r="X314" i="1" s="1"/>
  <c r="P306" i="1"/>
  <c r="Q306" i="1" s="1"/>
  <c r="R306" i="1" s="1"/>
  <c r="Z306" i="1" s="1"/>
  <c r="P298" i="1"/>
  <c r="Q298" i="1" s="1"/>
  <c r="R298" i="1" s="1"/>
  <c r="P290" i="1"/>
  <c r="Q290" i="1" s="1"/>
  <c r="P282" i="1"/>
  <c r="Q282" i="1" s="1"/>
  <c r="R282" i="1" s="1"/>
  <c r="AG282" i="1" s="1"/>
  <c r="P274" i="1"/>
  <c r="Q274" i="1" s="1"/>
  <c r="R274" i="1" s="1"/>
  <c r="AG274" i="1" s="1"/>
  <c r="P266" i="1"/>
  <c r="Q266" i="1" s="1"/>
  <c r="R266" i="1" s="1"/>
  <c r="T266" i="1" s="1"/>
  <c r="P258" i="1"/>
  <c r="Q258" i="1" s="1"/>
  <c r="R258" i="1" s="1"/>
  <c r="V258" i="1" s="1"/>
  <c r="AI258" i="1" s="1"/>
  <c r="P250" i="1"/>
  <c r="Q250" i="1" s="1"/>
  <c r="R250" i="1" s="1"/>
  <c r="P242" i="1"/>
  <c r="Q242" i="1" s="1"/>
  <c r="R242" i="1" s="1"/>
  <c r="V242" i="1" s="1"/>
  <c r="AI242" i="1" s="1"/>
  <c r="P234" i="1"/>
  <c r="Q234" i="1" s="1"/>
  <c r="R234" i="1" s="1"/>
  <c r="P226" i="1"/>
  <c r="Q226" i="1" s="1"/>
  <c r="P218" i="1"/>
  <c r="Q218" i="1" s="1"/>
  <c r="R218" i="1" s="1"/>
  <c r="Z218" i="1" s="1"/>
  <c r="P210" i="1"/>
  <c r="Q210" i="1" s="1"/>
  <c r="R210" i="1" s="1"/>
  <c r="Z210" i="1" s="1"/>
  <c r="P202" i="1"/>
  <c r="Q202" i="1" s="1"/>
  <c r="R202" i="1" s="1"/>
  <c r="T202" i="1" s="1"/>
  <c r="AB202" i="1" s="1"/>
  <c r="P194" i="1"/>
  <c r="Q194" i="1" s="1"/>
  <c r="R194" i="1" s="1"/>
  <c r="Z194" i="1" s="1"/>
  <c r="P186" i="1"/>
  <c r="Q186" i="1" s="1"/>
  <c r="R186" i="1" s="1"/>
  <c r="AG186" i="1" s="1"/>
  <c r="P178" i="1"/>
  <c r="Q178" i="1" s="1"/>
  <c r="R178" i="1" s="1"/>
  <c r="V178" i="1" s="1"/>
  <c r="AI178" i="1" s="1"/>
  <c r="P170" i="1"/>
  <c r="Q170" i="1" s="1"/>
  <c r="R170" i="1" s="1"/>
  <c r="Z170" i="1" s="1"/>
  <c r="P162" i="1"/>
  <c r="Q162" i="1" s="1"/>
  <c r="R162" i="1" s="1"/>
  <c r="P74" i="1"/>
  <c r="Q74" i="1" s="1"/>
  <c r="R74" i="1" s="1"/>
  <c r="P401" i="1"/>
  <c r="Q401" i="1" s="1"/>
  <c r="R401" i="1" s="1"/>
  <c r="Z401" i="1" s="1"/>
  <c r="P380" i="1"/>
  <c r="Q380" i="1" s="1"/>
  <c r="R380" i="1" s="1"/>
  <c r="P372" i="1"/>
  <c r="Q372" i="1" s="1"/>
  <c r="R372" i="1" s="1"/>
  <c r="AG372" i="1" s="1"/>
  <c r="P364" i="1"/>
  <c r="Q364" i="1" s="1"/>
  <c r="R364" i="1" s="1"/>
  <c r="P356" i="1"/>
  <c r="Q356" i="1" s="1"/>
  <c r="R356" i="1" s="1"/>
  <c r="P348" i="1"/>
  <c r="Q348" i="1" s="1"/>
  <c r="R348" i="1" s="1"/>
  <c r="V348" i="1" s="1"/>
  <c r="AI348" i="1" s="1"/>
  <c r="P340" i="1"/>
  <c r="P332" i="1"/>
  <c r="Q332" i="1" s="1"/>
  <c r="R332" i="1" s="1"/>
  <c r="P324" i="1"/>
  <c r="Q324" i="1" s="1"/>
  <c r="R324" i="1" s="1"/>
  <c r="T324" i="1" s="1"/>
  <c r="AB324" i="1" s="1"/>
  <c r="P316" i="1"/>
  <c r="Q316" i="1" s="1"/>
  <c r="R316" i="1" s="1"/>
  <c r="P308" i="1"/>
  <c r="Q308" i="1" s="1"/>
  <c r="R308" i="1" s="1"/>
  <c r="P300" i="1"/>
  <c r="Q300" i="1" s="1"/>
  <c r="R300" i="1" s="1"/>
  <c r="Z300" i="1" s="1"/>
  <c r="P292" i="1"/>
  <c r="Q292" i="1" s="1"/>
  <c r="R292" i="1" s="1"/>
  <c r="P284" i="1"/>
  <c r="Q284" i="1" s="1"/>
  <c r="R284" i="1" s="1"/>
  <c r="Z284" i="1" s="1"/>
  <c r="P276" i="1"/>
  <c r="Q276" i="1" s="1"/>
  <c r="R276" i="1" s="1"/>
  <c r="Z276" i="1" s="1"/>
  <c r="P268" i="1"/>
  <c r="Q268" i="1" s="1"/>
  <c r="R268" i="1" s="1"/>
  <c r="P260" i="1"/>
  <c r="Q260" i="1" s="1"/>
  <c r="R260" i="1" s="1"/>
  <c r="AG260" i="1" s="1"/>
  <c r="P252" i="1"/>
  <c r="Q252" i="1" s="1"/>
  <c r="R252" i="1" s="1"/>
  <c r="U252" i="1" s="1"/>
  <c r="X252" i="1" s="1"/>
  <c r="P244" i="1"/>
  <c r="Q244" i="1" s="1"/>
  <c r="R244" i="1" s="1"/>
  <c r="P236" i="1"/>
  <c r="Q236" i="1" s="1"/>
  <c r="R236" i="1" s="1"/>
  <c r="AG236" i="1" s="1"/>
  <c r="P228" i="1"/>
  <c r="Q228" i="1" s="1"/>
  <c r="R228" i="1" s="1"/>
  <c r="V228" i="1" s="1"/>
  <c r="AI228" i="1" s="1"/>
  <c r="P220" i="1"/>
  <c r="Q220" i="1" s="1"/>
  <c r="R220" i="1" s="1"/>
  <c r="Z220" i="1" s="1"/>
  <c r="P212" i="1"/>
  <c r="Q212" i="1" s="1"/>
  <c r="R212" i="1" s="1"/>
  <c r="Z212" i="1" s="1"/>
  <c r="P204" i="1"/>
  <c r="Q204" i="1" s="1"/>
  <c r="R204" i="1" s="1"/>
  <c r="P196" i="1"/>
  <c r="Q196" i="1" s="1"/>
  <c r="R196" i="1" s="1"/>
  <c r="Z196" i="1" s="1"/>
  <c r="P188" i="1"/>
  <c r="Q188" i="1" s="1"/>
  <c r="R188" i="1" s="1"/>
  <c r="P180" i="1"/>
  <c r="Q180" i="1" s="1"/>
  <c r="R180" i="1" s="1"/>
  <c r="P172" i="1"/>
  <c r="Q172" i="1" s="1"/>
  <c r="R172" i="1" s="1"/>
  <c r="P164" i="1"/>
  <c r="Q164" i="1" s="1"/>
  <c r="R164" i="1" s="1"/>
  <c r="P92" i="1"/>
  <c r="Q92" i="1" s="1"/>
  <c r="R92" i="1" s="1"/>
  <c r="Z92" i="1" s="1"/>
  <c r="P68" i="1"/>
  <c r="Q68" i="1" s="1"/>
  <c r="R68" i="1" s="1"/>
  <c r="P132" i="1"/>
  <c r="Q132" i="1" s="1"/>
  <c r="R132" i="1" s="1"/>
  <c r="P156" i="1"/>
  <c r="Q156" i="1" s="1"/>
  <c r="R156" i="1" s="1"/>
  <c r="P154" i="1"/>
  <c r="Q154" i="1" s="1"/>
  <c r="R154" i="1" s="1"/>
  <c r="AG154" i="1" s="1"/>
  <c r="P480" i="1"/>
  <c r="Q480" i="1" s="1"/>
  <c r="P472" i="1"/>
  <c r="Q472" i="1" s="1"/>
  <c r="R472" i="1" s="1"/>
  <c r="P464" i="1"/>
  <c r="Q464" i="1" s="1"/>
  <c r="R464" i="1" s="1"/>
  <c r="P456" i="1"/>
  <c r="Q456" i="1" s="1"/>
  <c r="R456" i="1" s="1"/>
  <c r="P448" i="1"/>
  <c r="Q448" i="1" s="1"/>
  <c r="R448" i="1" s="1"/>
  <c r="P440" i="1"/>
  <c r="Q440" i="1" s="1"/>
  <c r="R440" i="1" s="1"/>
  <c r="P432" i="1"/>
  <c r="Q432" i="1" s="1"/>
  <c r="R432" i="1" s="1"/>
  <c r="P424" i="1"/>
  <c r="Q424" i="1" s="1"/>
  <c r="R424" i="1" s="1"/>
  <c r="P416" i="1"/>
  <c r="Q416" i="1" s="1"/>
  <c r="R416" i="1" s="1"/>
  <c r="P408" i="1"/>
  <c r="Q408" i="1" s="1"/>
  <c r="R408" i="1" s="1"/>
  <c r="P400" i="1"/>
  <c r="Q400" i="1" s="1"/>
  <c r="R400" i="1" s="1"/>
  <c r="P392" i="1"/>
  <c r="Q392" i="1" s="1"/>
  <c r="R392" i="1" s="1"/>
  <c r="P384" i="1"/>
  <c r="Q384" i="1" s="1"/>
  <c r="R384" i="1" s="1"/>
  <c r="P376" i="1"/>
  <c r="Q376" i="1" s="1"/>
  <c r="R376" i="1" s="1"/>
  <c r="P368" i="1"/>
  <c r="Q368" i="1" s="1"/>
  <c r="R368" i="1" s="1"/>
  <c r="P360" i="1"/>
  <c r="Q360" i="1" s="1"/>
  <c r="R360" i="1" s="1"/>
  <c r="P352" i="1"/>
  <c r="Q352" i="1" s="1"/>
  <c r="R352" i="1" s="1"/>
  <c r="P344" i="1"/>
  <c r="Q344" i="1" s="1"/>
  <c r="R344" i="1" s="1"/>
  <c r="P336" i="1"/>
  <c r="Q336" i="1" s="1"/>
  <c r="R336" i="1" s="1"/>
  <c r="P328" i="1"/>
  <c r="Q328" i="1" s="1"/>
  <c r="R328" i="1" s="1"/>
  <c r="P320" i="1"/>
  <c r="Q320" i="1" s="1"/>
  <c r="R320" i="1" s="1"/>
  <c r="P312" i="1"/>
  <c r="Q312" i="1" s="1"/>
  <c r="R312" i="1" s="1"/>
  <c r="P304" i="1"/>
  <c r="Q304" i="1" s="1"/>
  <c r="R304" i="1" s="1"/>
  <c r="P296" i="1"/>
  <c r="Q296" i="1" s="1"/>
  <c r="R296" i="1" s="1"/>
  <c r="P288" i="1"/>
  <c r="Q288" i="1" s="1"/>
  <c r="P280" i="1"/>
  <c r="Q280" i="1" s="1"/>
  <c r="R280" i="1" s="1"/>
  <c r="P272" i="1"/>
  <c r="Q272" i="1" s="1"/>
  <c r="R272" i="1" s="1"/>
  <c r="P264" i="1"/>
  <c r="Q264" i="1" s="1"/>
  <c r="R264" i="1" s="1"/>
  <c r="P256" i="1"/>
  <c r="Q256" i="1" s="1"/>
  <c r="R256" i="1" s="1"/>
  <c r="P248" i="1"/>
  <c r="Q248" i="1" s="1"/>
  <c r="R248" i="1" s="1"/>
  <c r="P240" i="1"/>
  <c r="Q240" i="1" s="1"/>
  <c r="R240" i="1" s="1"/>
  <c r="P232" i="1"/>
  <c r="Q232" i="1" s="1"/>
  <c r="R232" i="1" s="1"/>
  <c r="P224" i="1"/>
  <c r="Q224" i="1" s="1"/>
  <c r="R224" i="1" s="1"/>
  <c r="P216" i="1"/>
  <c r="Q216" i="1" s="1"/>
  <c r="R216" i="1" s="1"/>
  <c r="P208" i="1"/>
  <c r="Q208" i="1" s="1"/>
  <c r="R208" i="1" s="1"/>
  <c r="P200" i="1"/>
  <c r="Q200" i="1" s="1"/>
  <c r="R200" i="1" s="1"/>
  <c r="P192" i="1"/>
  <c r="Q192" i="1" s="1"/>
  <c r="R192" i="1" s="1"/>
  <c r="P184" i="1"/>
  <c r="Q184" i="1" s="1"/>
  <c r="R184" i="1" s="1"/>
  <c r="P176" i="1"/>
  <c r="Q176" i="1" s="1"/>
  <c r="R176" i="1" s="1"/>
  <c r="P168" i="1"/>
  <c r="Q168" i="1" s="1"/>
  <c r="R168" i="1" s="1"/>
  <c r="P160" i="1"/>
  <c r="Q160" i="1" s="1"/>
  <c r="P152" i="1"/>
  <c r="Q152" i="1" s="1"/>
  <c r="R152" i="1" s="1"/>
  <c r="P72" i="1"/>
  <c r="Q72" i="1" s="1"/>
  <c r="P405" i="1"/>
  <c r="Q405" i="1" s="1"/>
  <c r="R405" i="1" s="1"/>
  <c r="P397" i="1"/>
  <c r="Q397" i="1" s="1"/>
  <c r="R397" i="1" s="1"/>
  <c r="P389" i="1"/>
  <c r="Q389" i="1" s="1"/>
  <c r="R389" i="1" s="1"/>
  <c r="T389" i="1" s="1"/>
  <c r="AB389" i="1" s="1"/>
  <c r="P381" i="1"/>
  <c r="Q381" i="1" s="1"/>
  <c r="R381" i="1" s="1"/>
  <c r="U381" i="1" s="1"/>
  <c r="X381" i="1" s="1"/>
  <c r="P373" i="1"/>
  <c r="Q373" i="1" s="1"/>
  <c r="R373" i="1" s="1"/>
  <c r="V373" i="1" s="1"/>
  <c r="AI373" i="1" s="1"/>
  <c r="P365" i="1"/>
  <c r="Q365" i="1" s="1"/>
  <c r="R365" i="1" s="1"/>
  <c r="Z365" i="1" s="1"/>
  <c r="P357" i="1"/>
  <c r="Q357" i="1" s="1"/>
  <c r="R357" i="1" s="1"/>
  <c r="V357" i="1" s="1"/>
  <c r="AI357" i="1" s="1"/>
  <c r="P349" i="1"/>
  <c r="Q349" i="1" s="1"/>
  <c r="R349" i="1" s="1"/>
  <c r="P341" i="1"/>
  <c r="Q341" i="1" s="1"/>
  <c r="R341" i="1" s="1"/>
  <c r="P333" i="1"/>
  <c r="Q333" i="1" s="1"/>
  <c r="R333" i="1" s="1"/>
  <c r="P325" i="1"/>
  <c r="Q325" i="1" s="1"/>
  <c r="R325" i="1" s="1"/>
  <c r="P317" i="1"/>
  <c r="Q317" i="1" s="1"/>
  <c r="R317" i="1" s="1"/>
  <c r="T317" i="1" s="1"/>
  <c r="AB317" i="1" s="1"/>
  <c r="P309" i="1"/>
  <c r="Q309" i="1" s="1"/>
  <c r="R309" i="1" s="1"/>
  <c r="P301" i="1"/>
  <c r="Q301" i="1" s="1"/>
  <c r="R301" i="1" s="1"/>
  <c r="Z301" i="1" s="1"/>
  <c r="P293" i="1"/>
  <c r="Q293" i="1" s="1"/>
  <c r="R293" i="1" s="1"/>
  <c r="P285" i="1"/>
  <c r="Q285" i="1" s="1"/>
  <c r="V285" i="1" s="1"/>
  <c r="AI285" i="1" s="1"/>
  <c r="P277" i="1"/>
  <c r="Q277" i="1" s="1"/>
  <c r="R277" i="1" s="1"/>
  <c r="P269" i="1"/>
  <c r="Q269" i="1" s="1"/>
  <c r="R269" i="1" s="1"/>
  <c r="P261" i="1"/>
  <c r="Q261" i="1" s="1"/>
  <c r="R261" i="1" s="1"/>
  <c r="P253" i="1"/>
  <c r="Q253" i="1" s="1"/>
  <c r="R253" i="1" s="1"/>
  <c r="P245" i="1"/>
  <c r="Q245" i="1" s="1"/>
  <c r="R245" i="1" s="1"/>
  <c r="P237" i="1"/>
  <c r="Q237" i="1" s="1"/>
  <c r="R237" i="1" s="1"/>
  <c r="U237" i="1" s="1"/>
  <c r="X237" i="1" s="1"/>
  <c r="P229" i="1"/>
  <c r="Q229" i="1" s="1"/>
  <c r="R229" i="1" s="1"/>
  <c r="AG229" i="1" s="1"/>
  <c r="P221" i="1"/>
  <c r="Q221" i="1" s="1"/>
  <c r="R221" i="1" s="1"/>
  <c r="T221" i="1" s="1"/>
  <c r="AB221" i="1" s="1"/>
  <c r="P213" i="1"/>
  <c r="Q213" i="1" s="1"/>
  <c r="R213" i="1" s="1"/>
  <c r="P205" i="1"/>
  <c r="Q205" i="1" s="1"/>
  <c r="R205" i="1" s="1"/>
  <c r="P197" i="1"/>
  <c r="Q197" i="1" s="1"/>
  <c r="R197" i="1" s="1"/>
  <c r="U197" i="1" s="1"/>
  <c r="X197" i="1" s="1"/>
  <c r="P189" i="1"/>
  <c r="Q189" i="1" s="1"/>
  <c r="R189" i="1" s="1"/>
  <c r="P181" i="1"/>
  <c r="Q181" i="1" s="1"/>
  <c r="R181" i="1" s="1"/>
  <c r="P173" i="1"/>
  <c r="Q173" i="1" s="1"/>
  <c r="R173" i="1" s="1"/>
  <c r="Z173" i="1" s="1"/>
  <c r="P165" i="1"/>
  <c r="Q165" i="1" s="1"/>
  <c r="R165" i="1" s="1"/>
  <c r="V165" i="1" s="1"/>
  <c r="AI165" i="1" s="1"/>
  <c r="P157" i="1"/>
  <c r="Q157" i="1" s="1"/>
  <c r="R157" i="1" s="1"/>
  <c r="P149" i="1"/>
  <c r="Q149" i="1" s="1"/>
  <c r="R149" i="1" s="1"/>
  <c r="P133" i="1"/>
  <c r="Q133" i="1" s="1"/>
  <c r="R133" i="1" s="1"/>
  <c r="P69" i="1"/>
  <c r="Q69" i="1" s="1"/>
  <c r="R69" i="1" s="1"/>
  <c r="P479" i="1"/>
  <c r="Q479" i="1" s="1"/>
  <c r="R479" i="1" s="1"/>
  <c r="P471" i="1"/>
  <c r="Q471" i="1" s="1"/>
  <c r="R471" i="1" s="1"/>
  <c r="P463" i="1"/>
  <c r="Q463" i="1" s="1"/>
  <c r="R463" i="1" s="1"/>
  <c r="P455" i="1"/>
  <c r="Q455" i="1" s="1"/>
  <c r="R455" i="1" s="1"/>
  <c r="P447" i="1"/>
  <c r="Q447" i="1" s="1"/>
  <c r="R447" i="1" s="1"/>
  <c r="P439" i="1"/>
  <c r="Q439" i="1" s="1"/>
  <c r="R439" i="1" s="1"/>
  <c r="P431" i="1"/>
  <c r="Q431" i="1" s="1"/>
  <c r="R431" i="1" s="1"/>
  <c r="V431" i="1" s="1"/>
  <c r="AI431" i="1" s="1"/>
  <c r="P423" i="1"/>
  <c r="Q423" i="1" s="1"/>
  <c r="R423" i="1" s="1"/>
  <c r="P415" i="1"/>
  <c r="Q415" i="1" s="1"/>
  <c r="R415" i="1" s="1"/>
  <c r="P407" i="1"/>
  <c r="Q407" i="1" s="1"/>
  <c r="R407" i="1" s="1"/>
  <c r="P399" i="1"/>
  <c r="Q399" i="1" s="1"/>
  <c r="R399" i="1" s="1"/>
  <c r="U399" i="1" s="1"/>
  <c r="X399" i="1" s="1"/>
  <c r="P391" i="1"/>
  <c r="Q391" i="1" s="1"/>
  <c r="R391" i="1" s="1"/>
  <c r="P383" i="1"/>
  <c r="Q383" i="1" s="1"/>
  <c r="R383" i="1" s="1"/>
  <c r="V383" i="1" s="1"/>
  <c r="AI383" i="1" s="1"/>
  <c r="P375" i="1"/>
  <c r="Q375" i="1" s="1"/>
  <c r="R375" i="1" s="1"/>
  <c r="P367" i="1"/>
  <c r="Q367" i="1" s="1"/>
  <c r="R367" i="1" s="1"/>
  <c r="P359" i="1"/>
  <c r="Q359" i="1" s="1"/>
  <c r="R359" i="1" s="1"/>
  <c r="P351" i="1"/>
  <c r="Q351" i="1" s="1"/>
  <c r="R351" i="1" s="1"/>
  <c r="P343" i="1"/>
  <c r="Q343" i="1" s="1"/>
  <c r="R343" i="1" s="1"/>
  <c r="P335" i="1"/>
  <c r="Q335" i="1" s="1"/>
  <c r="R335" i="1" s="1"/>
  <c r="P327" i="1"/>
  <c r="Q327" i="1" s="1"/>
  <c r="R327" i="1" s="1"/>
  <c r="P319" i="1"/>
  <c r="Q319" i="1" s="1"/>
  <c r="R319" i="1" s="1"/>
  <c r="P311" i="1"/>
  <c r="Q311" i="1" s="1"/>
  <c r="R311" i="1" s="1"/>
  <c r="P303" i="1"/>
  <c r="Q303" i="1" s="1"/>
  <c r="R303" i="1" s="1"/>
  <c r="P295" i="1"/>
  <c r="Q295" i="1" s="1"/>
  <c r="R295" i="1" s="1"/>
  <c r="P287" i="1"/>
  <c r="Q287" i="1" s="1"/>
  <c r="P279" i="1"/>
  <c r="Q279" i="1" s="1"/>
  <c r="R279" i="1" s="1"/>
  <c r="P271" i="1"/>
  <c r="Q271" i="1" s="1"/>
  <c r="R271" i="1" s="1"/>
  <c r="P263" i="1"/>
  <c r="Q263" i="1" s="1"/>
  <c r="R263" i="1" s="1"/>
  <c r="P255" i="1"/>
  <c r="Q255" i="1" s="1"/>
  <c r="R255" i="1" s="1"/>
  <c r="P247" i="1"/>
  <c r="Q247" i="1" s="1"/>
  <c r="R247" i="1" s="1"/>
  <c r="P239" i="1"/>
  <c r="Q239" i="1" s="1"/>
  <c r="R239" i="1" s="1"/>
  <c r="P231" i="1"/>
  <c r="Q231" i="1" s="1"/>
  <c r="R231" i="1" s="1"/>
  <c r="P223" i="1"/>
  <c r="Q223" i="1" s="1"/>
  <c r="R223" i="1" s="1"/>
  <c r="P215" i="1"/>
  <c r="Q215" i="1" s="1"/>
  <c r="R215" i="1" s="1"/>
  <c r="P207" i="1"/>
  <c r="Q207" i="1" s="1"/>
  <c r="R207" i="1" s="1"/>
  <c r="P199" i="1"/>
  <c r="Q199" i="1" s="1"/>
  <c r="R199" i="1" s="1"/>
  <c r="P191" i="1"/>
  <c r="Q191" i="1" s="1"/>
  <c r="R191" i="1" s="1"/>
  <c r="P183" i="1"/>
  <c r="Q183" i="1" s="1"/>
  <c r="R183" i="1" s="1"/>
  <c r="P175" i="1"/>
  <c r="Q175" i="1" s="1"/>
  <c r="R175" i="1" s="1"/>
  <c r="P167" i="1"/>
  <c r="Q167" i="1" s="1"/>
  <c r="R167" i="1" s="1"/>
  <c r="P159" i="1"/>
  <c r="Q159" i="1" s="1"/>
  <c r="R159" i="1" s="1"/>
  <c r="P151" i="1"/>
  <c r="Q151" i="1" s="1"/>
  <c r="R151" i="1" s="1"/>
  <c r="P143" i="1"/>
  <c r="Q143" i="1" s="1"/>
  <c r="R143" i="1" s="1"/>
  <c r="P103" i="1"/>
  <c r="Q103" i="1" s="1"/>
  <c r="R103" i="1" s="1"/>
  <c r="Z103" i="1" s="1"/>
  <c r="P87" i="1"/>
  <c r="Q87" i="1" s="1"/>
  <c r="R87" i="1" s="1"/>
  <c r="P71" i="1"/>
  <c r="Q71" i="1" s="1"/>
  <c r="R71" i="1" s="1"/>
  <c r="Z71" i="1" s="1"/>
  <c r="P476" i="1"/>
  <c r="Q476" i="1" s="1"/>
  <c r="R476" i="1" s="1"/>
  <c r="AG476" i="1" s="1"/>
  <c r="P468" i="1"/>
  <c r="Q468" i="1" s="1"/>
  <c r="R468" i="1" s="1"/>
  <c r="Z468" i="1" s="1"/>
  <c r="P460" i="1"/>
  <c r="Q460" i="1" s="1"/>
  <c r="R460" i="1" s="1"/>
  <c r="AG460" i="1" s="1"/>
  <c r="P452" i="1"/>
  <c r="Q452" i="1" s="1"/>
  <c r="R452" i="1" s="1"/>
  <c r="P444" i="1"/>
  <c r="Q444" i="1" s="1"/>
  <c r="R444" i="1" s="1"/>
  <c r="V444" i="1" s="1"/>
  <c r="AI444" i="1" s="1"/>
  <c r="P436" i="1"/>
  <c r="Q436" i="1" s="1"/>
  <c r="R436" i="1" s="1"/>
  <c r="U436" i="1" s="1"/>
  <c r="P428" i="1"/>
  <c r="Q428" i="1" s="1"/>
  <c r="R428" i="1" s="1"/>
  <c r="P420" i="1"/>
  <c r="Q420" i="1" s="1"/>
  <c r="R420" i="1" s="1"/>
  <c r="AG420" i="1" s="1"/>
  <c r="P412" i="1"/>
  <c r="Q412" i="1" s="1"/>
  <c r="R412" i="1" s="1"/>
  <c r="P404" i="1"/>
  <c r="Q404" i="1" s="1"/>
  <c r="R404" i="1" s="1"/>
  <c r="U404" i="1" s="1"/>
  <c r="X404" i="1" s="1"/>
  <c r="P396" i="1"/>
  <c r="Q396" i="1" s="1"/>
  <c r="R396" i="1" s="1"/>
  <c r="Z396" i="1" s="1"/>
  <c r="P388" i="1"/>
  <c r="Q388" i="1" s="1"/>
  <c r="R388" i="1" s="1"/>
  <c r="P470" i="1"/>
  <c r="Q470" i="1" s="1"/>
  <c r="R470" i="1" s="1"/>
  <c r="P425" i="1"/>
  <c r="Q425" i="1" s="1"/>
  <c r="R425" i="1" s="1"/>
  <c r="P385" i="1"/>
  <c r="Q385" i="1" s="1"/>
  <c r="R385" i="1" s="1"/>
  <c r="P361" i="1"/>
  <c r="Q361" i="1" s="1"/>
  <c r="R361" i="1" s="1"/>
  <c r="Z361" i="1" s="1"/>
  <c r="P337" i="1"/>
  <c r="Q337" i="1" s="1"/>
  <c r="P297" i="1"/>
  <c r="Q297" i="1" s="1"/>
  <c r="R297" i="1" s="1"/>
  <c r="P289" i="1"/>
  <c r="Q289" i="1" s="1"/>
  <c r="R289" i="1" s="1"/>
  <c r="P257" i="1"/>
  <c r="Q257" i="1" s="1"/>
  <c r="R257" i="1" s="1"/>
  <c r="AG257" i="1" s="1"/>
  <c r="P241" i="1"/>
  <c r="Q241" i="1" s="1"/>
  <c r="R241" i="1" s="1"/>
  <c r="P217" i="1"/>
  <c r="Q217" i="1" s="1"/>
  <c r="R217" i="1" s="1"/>
  <c r="P185" i="1"/>
  <c r="Q185" i="1" s="1"/>
  <c r="R185" i="1" s="1"/>
  <c r="P177" i="1"/>
  <c r="Q177" i="1" s="1"/>
  <c r="R177" i="1" s="1"/>
  <c r="P169" i="1"/>
  <c r="Q169" i="1" s="1"/>
  <c r="R169" i="1" s="1"/>
  <c r="P161" i="1"/>
  <c r="Q161" i="1" s="1"/>
  <c r="R161" i="1" s="1"/>
  <c r="P153" i="1"/>
  <c r="Q153" i="1" s="1"/>
  <c r="R153" i="1" s="1"/>
  <c r="P73" i="1"/>
  <c r="Q73" i="1" s="1"/>
  <c r="R73" i="1" s="1"/>
  <c r="R480" i="1"/>
  <c r="P481" i="1"/>
  <c r="Q481" i="1" s="1"/>
  <c r="R481" i="1" s="1"/>
  <c r="P465" i="1"/>
  <c r="Q465" i="1" s="1"/>
  <c r="R465" i="1" s="1"/>
  <c r="AG465" i="1" s="1"/>
  <c r="P441" i="1"/>
  <c r="Q441" i="1" s="1"/>
  <c r="R441" i="1" s="1"/>
  <c r="Z441" i="1" s="1"/>
  <c r="P409" i="1"/>
  <c r="Q409" i="1" s="1"/>
  <c r="R409" i="1" s="1"/>
  <c r="V409" i="1" s="1"/>
  <c r="AI409" i="1" s="1"/>
  <c r="P369" i="1"/>
  <c r="Q369" i="1" s="1"/>
  <c r="R369" i="1" s="1"/>
  <c r="AG369" i="1" s="1"/>
  <c r="P345" i="1"/>
  <c r="Q345" i="1" s="1"/>
  <c r="R345" i="1" s="1"/>
  <c r="P305" i="1"/>
  <c r="Q305" i="1" s="1"/>
  <c r="R305" i="1" s="1"/>
  <c r="V305" i="1" s="1"/>
  <c r="AI305" i="1" s="1"/>
  <c r="P265" i="1"/>
  <c r="Q265" i="1" s="1"/>
  <c r="R265" i="1" s="1"/>
  <c r="P209" i="1"/>
  <c r="Q209" i="1" s="1"/>
  <c r="R209" i="1" s="1"/>
  <c r="P462" i="1"/>
  <c r="Q462" i="1" s="1"/>
  <c r="R462" i="1" s="1"/>
  <c r="Z462" i="1" s="1"/>
  <c r="P454" i="1"/>
  <c r="Q454" i="1" s="1"/>
  <c r="R454" i="1" s="1"/>
  <c r="Z454" i="1" s="1"/>
  <c r="P406" i="1"/>
  <c r="Q406" i="1" s="1"/>
  <c r="R406" i="1" s="1"/>
  <c r="Z406" i="1" s="1"/>
  <c r="P398" i="1"/>
  <c r="Q398" i="1" s="1"/>
  <c r="R398" i="1" s="1"/>
  <c r="AG398" i="1" s="1"/>
  <c r="P326" i="1"/>
  <c r="Q326" i="1" s="1"/>
  <c r="R326" i="1" s="1"/>
  <c r="P318" i="1"/>
  <c r="Q318" i="1" s="1"/>
  <c r="R318" i="1" s="1"/>
  <c r="P310" i="1"/>
  <c r="Q310" i="1" s="1"/>
  <c r="R310" i="1" s="1"/>
  <c r="Z310" i="1" s="1"/>
  <c r="P302" i="1"/>
  <c r="Q302" i="1" s="1"/>
  <c r="R302" i="1" s="1"/>
  <c r="P294" i="1"/>
  <c r="Q294" i="1" s="1"/>
  <c r="R294" i="1" s="1"/>
  <c r="V294" i="1" s="1"/>
  <c r="AI294" i="1" s="1"/>
  <c r="P286" i="1"/>
  <c r="Q286" i="1" s="1"/>
  <c r="Z286" i="1" s="1"/>
  <c r="P270" i="1"/>
  <c r="Q270" i="1" s="1"/>
  <c r="R270" i="1" s="1"/>
  <c r="AG270" i="1" s="1"/>
  <c r="P262" i="1"/>
  <c r="Q262" i="1" s="1"/>
  <c r="R262" i="1" s="1"/>
  <c r="P254" i="1"/>
  <c r="Q254" i="1" s="1"/>
  <c r="R254" i="1" s="1"/>
  <c r="P246" i="1"/>
  <c r="Q246" i="1" s="1"/>
  <c r="R246" i="1" s="1"/>
  <c r="Z246" i="1" s="1"/>
  <c r="P238" i="1"/>
  <c r="Q238" i="1" s="1"/>
  <c r="R238" i="1" s="1"/>
  <c r="P230" i="1"/>
  <c r="Q230" i="1" s="1"/>
  <c r="R230" i="1" s="1"/>
  <c r="P222" i="1"/>
  <c r="Q222" i="1" s="1"/>
  <c r="R222" i="1" s="1"/>
  <c r="P214" i="1"/>
  <c r="Q214" i="1" s="1"/>
  <c r="R214" i="1" s="1"/>
  <c r="Z214" i="1" s="1"/>
  <c r="P206" i="1"/>
  <c r="Q206" i="1" s="1"/>
  <c r="R206" i="1" s="1"/>
  <c r="Z206" i="1" s="1"/>
  <c r="P198" i="1"/>
  <c r="Q198" i="1" s="1"/>
  <c r="R198" i="1" s="1"/>
  <c r="Z198" i="1" s="1"/>
  <c r="P190" i="1"/>
  <c r="Q190" i="1" s="1"/>
  <c r="R190" i="1" s="1"/>
  <c r="Z190" i="1" s="1"/>
  <c r="P182" i="1"/>
  <c r="Q182" i="1" s="1"/>
  <c r="R182" i="1" s="1"/>
  <c r="Z182" i="1" s="1"/>
  <c r="P158" i="1"/>
  <c r="Q158" i="1" s="1"/>
  <c r="R158" i="1" s="1"/>
  <c r="Z158" i="1" s="1"/>
  <c r="P70" i="1"/>
  <c r="Q70" i="1" s="1"/>
  <c r="R70" i="1" s="1"/>
  <c r="P473" i="1"/>
  <c r="Q473" i="1" s="1"/>
  <c r="R473" i="1" s="1"/>
  <c r="Z473" i="1" s="1"/>
  <c r="P457" i="1"/>
  <c r="Q457" i="1" s="1"/>
  <c r="R457" i="1" s="1"/>
  <c r="P449" i="1"/>
  <c r="Q449" i="1" s="1"/>
  <c r="R449" i="1" s="1"/>
  <c r="T449" i="1" s="1"/>
  <c r="AB449" i="1" s="1"/>
  <c r="P433" i="1"/>
  <c r="Q433" i="1" s="1"/>
  <c r="R433" i="1" s="1"/>
  <c r="AG433" i="1" s="1"/>
  <c r="P417" i="1"/>
  <c r="Q417" i="1" s="1"/>
  <c r="R417" i="1" s="1"/>
  <c r="T417" i="1" s="1"/>
  <c r="AB417" i="1" s="1"/>
  <c r="P393" i="1"/>
  <c r="Q393" i="1" s="1"/>
  <c r="R393" i="1" s="1"/>
  <c r="P377" i="1"/>
  <c r="Q377" i="1" s="1"/>
  <c r="R377" i="1" s="1"/>
  <c r="P353" i="1"/>
  <c r="Q353" i="1" s="1"/>
  <c r="R353" i="1" s="1"/>
  <c r="P329" i="1"/>
  <c r="Q329" i="1" s="1"/>
  <c r="R329" i="1" s="1"/>
  <c r="T329" i="1" s="1"/>
  <c r="AB329" i="1" s="1"/>
  <c r="P321" i="1"/>
  <c r="Q321" i="1" s="1"/>
  <c r="R321" i="1" s="1"/>
  <c r="P313" i="1"/>
  <c r="Q313" i="1" s="1"/>
  <c r="R313" i="1" s="1"/>
  <c r="P281" i="1"/>
  <c r="Q281" i="1" s="1"/>
  <c r="R281" i="1" s="1"/>
  <c r="P273" i="1"/>
  <c r="Q273" i="1" s="1"/>
  <c r="R273" i="1" s="1"/>
  <c r="T273" i="1" s="1"/>
  <c r="AB273" i="1" s="1"/>
  <c r="P249" i="1"/>
  <c r="Q249" i="1" s="1"/>
  <c r="R249" i="1" s="1"/>
  <c r="P233" i="1"/>
  <c r="Q233" i="1" s="1"/>
  <c r="R233" i="1" s="1"/>
  <c r="P225" i="1"/>
  <c r="Q225" i="1" s="1"/>
  <c r="R225" i="1" s="1"/>
  <c r="P201" i="1"/>
  <c r="Q201" i="1" s="1"/>
  <c r="R201" i="1" s="1"/>
  <c r="P193" i="1"/>
  <c r="Q193" i="1" s="1"/>
  <c r="R193" i="1" s="1"/>
  <c r="P478" i="1"/>
  <c r="Q478" i="1" s="1"/>
  <c r="R478" i="1" s="1"/>
  <c r="T478" i="1" s="1"/>
  <c r="AB478" i="1" s="1"/>
  <c r="P446" i="1"/>
  <c r="Q446" i="1" s="1"/>
  <c r="R446" i="1" s="1"/>
  <c r="Z446" i="1" s="1"/>
  <c r="P438" i="1"/>
  <c r="Q438" i="1" s="1"/>
  <c r="R438" i="1" s="1"/>
  <c r="Z438" i="1" s="1"/>
  <c r="P430" i="1"/>
  <c r="Q430" i="1" s="1"/>
  <c r="R430" i="1" s="1"/>
  <c r="P422" i="1"/>
  <c r="Q422" i="1" s="1"/>
  <c r="R422" i="1" s="1"/>
  <c r="V422" i="1" s="1"/>
  <c r="AI422" i="1" s="1"/>
  <c r="P414" i="1"/>
  <c r="Q414" i="1" s="1"/>
  <c r="R414" i="1" s="1"/>
  <c r="T414" i="1" s="1"/>
  <c r="AB414" i="1" s="1"/>
  <c r="P390" i="1"/>
  <c r="Q390" i="1" s="1"/>
  <c r="R390" i="1" s="1"/>
  <c r="P382" i="1"/>
  <c r="Q382" i="1" s="1"/>
  <c r="R382" i="1" s="1"/>
  <c r="Z382" i="1" s="1"/>
  <c r="P374" i="1"/>
  <c r="Q374" i="1" s="1"/>
  <c r="R374" i="1" s="1"/>
  <c r="AG374" i="1" s="1"/>
  <c r="P366" i="1"/>
  <c r="Q366" i="1" s="1"/>
  <c r="R366" i="1" s="1"/>
  <c r="P358" i="1"/>
  <c r="Q358" i="1" s="1"/>
  <c r="R358" i="1" s="1"/>
  <c r="V358" i="1" s="1"/>
  <c r="AI358" i="1" s="1"/>
  <c r="P350" i="1"/>
  <c r="Q350" i="1" s="1"/>
  <c r="R350" i="1" s="1"/>
  <c r="P342" i="1"/>
  <c r="Q342" i="1" s="1"/>
  <c r="R342" i="1" s="1"/>
  <c r="V342" i="1" s="1"/>
  <c r="AI342" i="1" s="1"/>
  <c r="P334" i="1"/>
  <c r="Q334" i="1" s="1"/>
  <c r="R334" i="1" s="1"/>
  <c r="AG334" i="1" s="1"/>
  <c r="P278" i="1"/>
  <c r="Q278" i="1" s="1"/>
  <c r="R278" i="1" s="1"/>
  <c r="P174" i="1"/>
  <c r="Q174" i="1" s="1"/>
  <c r="R174" i="1" s="1"/>
  <c r="U174" i="1" s="1"/>
  <c r="X174" i="1" s="1"/>
  <c r="P166" i="1"/>
  <c r="Q166" i="1" s="1"/>
  <c r="R166" i="1" s="1"/>
  <c r="AG166" i="1" s="1"/>
  <c r="P142" i="1"/>
  <c r="Q142" i="1" s="1"/>
  <c r="R142" i="1" s="1"/>
  <c r="V142" i="1" s="1"/>
  <c r="AI142" i="1" s="1"/>
  <c r="P118" i="1"/>
  <c r="Q118" i="1" s="1"/>
  <c r="R118" i="1" s="1"/>
  <c r="P475" i="1"/>
  <c r="Q475" i="1" s="1"/>
  <c r="R475" i="1" s="1"/>
  <c r="P467" i="1"/>
  <c r="Q467" i="1" s="1"/>
  <c r="R467" i="1" s="1"/>
  <c r="P459" i="1"/>
  <c r="Q459" i="1" s="1"/>
  <c r="R459" i="1" s="1"/>
  <c r="P451" i="1"/>
  <c r="Q451" i="1" s="1"/>
  <c r="R451" i="1" s="1"/>
  <c r="Z451" i="1" s="1"/>
  <c r="P443" i="1"/>
  <c r="Q443" i="1" s="1"/>
  <c r="R443" i="1" s="1"/>
  <c r="Z443" i="1" s="1"/>
  <c r="P435" i="1"/>
  <c r="Q435" i="1" s="1"/>
  <c r="R435" i="1" s="1"/>
  <c r="T435" i="1" s="1"/>
  <c r="AB435" i="1" s="1"/>
  <c r="P427" i="1"/>
  <c r="Q427" i="1" s="1"/>
  <c r="R427" i="1" s="1"/>
  <c r="P419" i="1"/>
  <c r="Q419" i="1" s="1"/>
  <c r="R419" i="1" s="1"/>
  <c r="Z419" i="1" s="1"/>
  <c r="P411" i="1"/>
  <c r="Q411" i="1" s="1"/>
  <c r="R411" i="1" s="1"/>
  <c r="P403" i="1"/>
  <c r="Q403" i="1" s="1"/>
  <c r="R403" i="1" s="1"/>
  <c r="T403" i="1" s="1"/>
  <c r="AB403" i="1" s="1"/>
  <c r="P395" i="1"/>
  <c r="Q395" i="1" s="1"/>
  <c r="R395" i="1" s="1"/>
  <c r="P387" i="1"/>
  <c r="Q387" i="1" s="1"/>
  <c r="R387" i="1" s="1"/>
  <c r="P379" i="1"/>
  <c r="Q379" i="1" s="1"/>
  <c r="R379" i="1" s="1"/>
  <c r="Z379" i="1" s="1"/>
  <c r="P371" i="1"/>
  <c r="Q371" i="1" s="1"/>
  <c r="R371" i="1" s="1"/>
  <c r="P363" i="1"/>
  <c r="Q363" i="1" s="1"/>
  <c r="R363" i="1" s="1"/>
  <c r="P355" i="1"/>
  <c r="Q355" i="1" s="1"/>
  <c r="R355" i="1" s="1"/>
  <c r="P347" i="1"/>
  <c r="Q347" i="1" s="1"/>
  <c r="R347" i="1" s="1"/>
  <c r="P339" i="1"/>
  <c r="Q339" i="1" s="1"/>
  <c r="R339" i="1" s="1"/>
  <c r="U339" i="1" s="1"/>
  <c r="X339" i="1" s="1"/>
  <c r="P331" i="1"/>
  <c r="Q331" i="1" s="1"/>
  <c r="R331" i="1" s="1"/>
  <c r="Z331" i="1" s="1"/>
  <c r="P323" i="1"/>
  <c r="Q323" i="1" s="1"/>
  <c r="R323" i="1" s="1"/>
  <c r="P315" i="1"/>
  <c r="Q315" i="1" s="1"/>
  <c r="R315" i="1" s="1"/>
  <c r="Z315" i="1" s="1"/>
  <c r="P307" i="1"/>
  <c r="Q307" i="1" s="1"/>
  <c r="R307" i="1" s="1"/>
  <c r="V307" i="1" s="1"/>
  <c r="AI307" i="1" s="1"/>
  <c r="P299" i="1"/>
  <c r="Q299" i="1" s="1"/>
  <c r="R299" i="1" s="1"/>
  <c r="T299" i="1" s="1"/>
  <c r="AB299" i="1" s="1"/>
  <c r="P291" i="1"/>
  <c r="Q291" i="1" s="1"/>
  <c r="R291" i="1" s="1"/>
  <c r="P283" i="1"/>
  <c r="Q283" i="1" s="1"/>
  <c r="R283" i="1" s="1"/>
  <c r="P275" i="1"/>
  <c r="Q275" i="1" s="1"/>
  <c r="R275" i="1" s="1"/>
  <c r="Z275" i="1" s="1"/>
  <c r="P267" i="1"/>
  <c r="Q267" i="1" s="1"/>
  <c r="R267" i="1" s="1"/>
  <c r="P259" i="1"/>
  <c r="Q259" i="1" s="1"/>
  <c r="R259" i="1" s="1"/>
  <c r="Z259" i="1" s="1"/>
  <c r="P251" i="1"/>
  <c r="Q251" i="1" s="1"/>
  <c r="R251" i="1" s="1"/>
  <c r="Z251" i="1" s="1"/>
  <c r="P243" i="1"/>
  <c r="Q243" i="1" s="1"/>
  <c r="R243" i="1" s="1"/>
  <c r="P235" i="1"/>
  <c r="Q235" i="1" s="1"/>
  <c r="R235" i="1" s="1"/>
  <c r="P227" i="1"/>
  <c r="Q227" i="1" s="1"/>
  <c r="R227" i="1" s="1"/>
  <c r="P219" i="1"/>
  <c r="Q219" i="1" s="1"/>
  <c r="R219" i="1" s="1"/>
  <c r="P211" i="1"/>
  <c r="Q211" i="1" s="1"/>
  <c r="R211" i="1" s="1"/>
  <c r="R337" i="1"/>
  <c r="P477" i="1"/>
  <c r="Q477" i="1" s="1"/>
  <c r="R477" i="1" s="1"/>
  <c r="P469" i="1"/>
  <c r="Q469" i="1" s="1"/>
  <c r="R469" i="1" s="1"/>
  <c r="P461" i="1"/>
  <c r="Q461" i="1" s="1"/>
  <c r="R461" i="1" s="1"/>
  <c r="P453" i="1"/>
  <c r="Q453" i="1" s="1"/>
  <c r="R453" i="1" s="1"/>
  <c r="P445" i="1"/>
  <c r="Q445" i="1" s="1"/>
  <c r="R445" i="1" s="1"/>
  <c r="P437" i="1"/>
  <c r="Q437" i="1" s="1"/>
  <c r="R437" i="1" s="1"/>
  <c r="Z437" i="1" s="1"/>
  <c r="P429" i="1"/>
  <c r="Q429" i="1" s="1"/>
  <c r="R429" i="1" s="1"/>
  <c r="AG429" i="1" s="1"/>
  <c r="P421" i="1"/>
  <c r="Q421" i="1" s="1"/>
  <c r="R421" i="1" s="1"/>
  <c r="P413" i="1"/>
  <c r="Q413" i="1" s="1"/>
  <c r="R413" i="1" s="1"/>
  <c r="R482" i="1"/>
  <c r="U482" i="1" s="1"/>
  <c r="X482" i="1" s="1"/>
  <c r="P203" i="1"/>
  <c r="Q203" i="1" s="1"/>
  <c r="R203" i="1" s="1"/>
  <c r="T203" i="1" s="1"/>
  <c r="AB203" i="1" s="1"/>
  <c r="P195" i="1"/>
  <c r="Q195" i="1" s="1"/>
  <c r="R195" i="1" s="1"/>
  <c r="T195" i="1" s="1"/>
  <c r="AB195" i="1" s="1"/>
  <c r="P187" i="1"/>
  <c r="Q187" i="1" s="1"/>
  <c r="R187" i="1" s="1"/>
  <c r="T187" i="1" s="1"/>
  <c r="AB187" i="1" s="1"/>
  <c r="P179" i="1"/>
  <c r="Q179" i="1" s="1"/>
  <c r="R179" i="1" s="1"/>
  <c r="P171" i="1"/>
  <c r="Q171" i="1" s="1"/>
  <c r="R171" i="1" s="1"/>
  <c r="P163" i="1"/>
  <c r="Q163" i="1" s="1"/>
  <c r="R163" i="1" s="1"/>
  <c r="Z163" i="1" s="1"/>
  <c r="P155" i="1"/>
  <c r="Q155" i="1" s="1"/>
  <c r="R155" i="1" s="1"/>
  <c r="P139" i="1"/>
  <c r="Q139" i="1" s="1"/>
  <c r="R139" i="1" s="1"/>
  <c r="AG139" i="1" s="1"/>
  <c r="P83" i="1"/>
  <c r="Q83" i="1" s="1"/>
  <c r="R83" i="1" s="1"/>
  <c r="P75" i="1"/>
  <c r="Q75" i="1" s="1"/>
  <c r="R75" i="1" s="1"/>
  <c r="P67" i="1"/>
  <c r="Q67" i="1" s="1"/>
  <c r="R67" i="1" s="1"/>
  <c r="T67" i="1" s="1"/>
  <c r="AB67" i="1" s="1"/>
  <c r="R290" i="1"/>
  <c r="Z290" i="1" s="1"/>
  <c r="R226" i="1"/>
  <c r="AG226" i="1" s="1"/>
  <c r="Q340" i="1"/>
  <c r="R340" i="1" s="1"/>
  <c r="Z340" i="1" s="1"/>
  <c r="P150" i="1"/>
  <c r="Q150" i="1" s="1"/>
  <c r="AG150" i="1" s="1"/>
  <c r="P148" i="1"/>
  <c r="Q148" i="1" s="1"/>
  <c r="R148" i="1" s="1"/>
  <c r="P147" i="1"/>
  <c r="Q147" i="1" s="1"/>
  <c r="R147" i="1" s="1"/>
  <c r="P146" i="1"/>
  <c r="Q146" i="1" s="1"/>
  <c r="R146" i="1" s="1"/>
  <c r="P145" i="1"/>
  <c r="Q145" i="1" s="1"/>
  <c r="R145" i="1" s="1"/>
  <c r="P144" i="1"/>
  <c r="Q144" i="1" s="1"/>
  <c r="R144" i="1" s="1"/>
  <c r="P141" i="1"/>
  <c r="Q141" i="1" s="1"/>
  <c r="R141" i="1" s="1"/>
  <c r="P140" i="1"/>
  <c r="Q140" i="1" s="1"/>
  <c r="R140" i="1" s="1"/>
  <c r="P138" i="1"/>
  <c r="Q138" i="1" s="1"/>
  <c r="R138" i="1" s="1"/>
  <c r="P137" i="1"/>
  <c r="Q137" i="1" s="1"/>
  <c r="R137" i="1" s="1"/>
  <c r="P136" i="1"/>
  <c r="Q136" i="1" s="1"/>
  <c r="R136" i="1" s="1"/>
  <c r="V136" i="1" s="1"/>
  <c r="AI136" i="1" s="1"/>
  <c r="P135" i="1"/>
  <c r="Q135" i="1" s="1"/>
  <c r="R135" i="1" s="1"/>
  <c r="Z135" i="1" s="1"/>
  <c r="P134" i="1"/>
  <c r="Q134" i="1" s="1"/>
  <c r="R134" i="1" s="1"/>
  <c r="P131" i="1"/>
  <c r="Q131" i="1" s="1"/>
  <c r="R131" i="1" s="1"/>
  <c r="P130" i="1"/>
  <c r="Q130" i="1" s="1"/>
  <c r="R130" i="1" s="1"/>
  <c r="P129" i="1"/>
  <c r="Q129" i="1" s="1"/>
  <c r="R129" i="1" s="1"/>
  <c r="P128" i="1"/>
  <c r="Q128" i="1" s="1"/>
  <c r="R128" i="1" s="1"/>
  <c r="P127" i="1"/>
  <c r="Q127" i="1" s="1"/>
  <c r="R127" i="1" s="1"/>
  <c r="P126" i="1"/>
  <c r="Q126" i="1" s="1"/>
  <c r="R126" i="1" s="1"/>
  <c r="Z126" i="1" s="1"/>
  <c r="P125" i="1"/>
  <c r="Q125" i="1" s="1"/>
  <c r="R125" i="1" s="1"/>
  <c r="P124" i="1"/>
  <c r="Q124" i="1" s="1"/>
  <c r="R124" i="1" s="1"/>
  <c r="P123" i="1"/>
  <c r="Q123" i="1" s="1"/>
  <c r="R123" i="1" s="1"/>
  <c r="P122" i="1"/>
  <c r="Q122" i="1" s="1"/>
  <c r="R122" i="1" s="1"/>
  <c r="P121" i="1"/>
  <c r="Q121" i="1" s="1"/>
  <c r="R121" i="1" s="1"/>
  <c r="P120" i="1"/>
  <c r="Q120" i="1" s="1"/>
  <c r="R120" i="1" s="1"/>
  <c r="P119" i="1"/>
  <c r="Q119" i="1" s="1"/>
  <c r="R119" i="1" s="1"/>
  <c r="P117" i="1"/>
  <c r="Q117" i="1" s="1"/>
  <c r="R117" i="1" s="1"/>
  <c r="P116" i="1"/>
  <c r="Q116" i="1" s="1"/>
  <c r="R116" i="1" s="1"/>
  <c r="P115" i="1"/>
  <c r="Q115" i="1" s="1"/>
  <c r="R115" i="1" s="1"/>
  <c r="P114" i="1"/>
  <c r="Q114" i="1" s="1"/>
  <c r="P113" i="1"/>
  <c r="Q113" i="1" s="1"/>
  <c r="R113" i="1" s="1"/>
  <c r="P112" i="1"/>
  <c r="Q112" i="1" s="1"/>
  <c r="R112" i="1" s="1"/>
  <c r="P111" i="1"/>
  <c r="Q111" i="1" s="1"/>
  <c r="R111" i="1" s="1"/>
  <c r="P110" i="1"/>
  <c r="Q110" i="1" s="1"/>
  <c r="R110" i="1" s="1"/>
  <c r="Z110" i="1" s="1"/>
  <c r="P109" i="1"/>
  <c r="Q109" i="1" s="1"/>
  <c r="R109" i="1" s="1"/>
  <c r="P108" i="1"/>
  <c r="Q108" i="1" s="1"/>
  <c r="R108" i="1" s="1"/>
  <c r="P107" i="1"/>
  <c r="Q107" i="1" s="1"/>
  <c r="R107" i="1" s="1"/>
  <c r="P106" i="1"/>
  <c r="Q106" i="1" s="1"/>
  <c r="R106" i="1" s="1"/>
  <c r="P105" i="1"/>
  <c r="Q105" i="1" s="1"/>
  <c r="R105" i="1" s="1"/>
  <c r="P104" i="1"/>
  <c r="Q104" i="1" s="1"/>
  <c r="R104" i="1" s="1"/>
  <c r="T104" i="1" s="1"/>
  <c r="AB104" i="1" s="1"/>
  <c r="P102" i="1"/>
  <c r="Q102" i="1" s="1"/>
  <c r="R102" i="1" s="1"/>
  <c r="P101" i="1"/>
  <c r="Q101" i="1" s="1"/>
  <c r="R101" i="1" s="1"/>
  <c r="P100" i="1"/>
  <c r="Q100" i="1" s="1"/>
  <c r="R100" i="1" s="1"/>
  <c r="P99" i="1"/>
  <c r="Q99" i="1" s="1"/>
  <c r="R99" i="1" s="1"/>
  <c r="P98" i="1"/>
  <c r="Q98" i="1" s="1"/>
  <c r="R98" i="1" s="1"/>
  <c r="P97" i="1"/>
  <c r="Q97" i="1" s="1"/>
  <c r="R97" i="1" s="1"/>
  <c r="P96" i="1"/>
  <c r="Q96" i="1" s="1"/>
  <c r="R96" i="1" s="1"/>
  <c r="Z96" i="1" s="1"/>
  <c r="P95" i="1"/>
  <c r="Q95" i="1" s="1"/>
  <c r="R95" i="1" s="1"/>
  <c r="P94" i="1"/>
  <c r="Q94" i="1" s="1"/>
  <c r="R94" i="1" s="1"/>
  <c r="V94" i="1" s="1"/>
  <c r="AI94" i="1" s="1"/>
  <c r="P93" i="1"/>
  <c r="Q93" i="1" s="1"/>
  <c r="R93" i="1" s="1"/>
  <c r="Z93" i="1" s="1"/>
  <c r="P91" i="1"/>
  <c r="Q91" i="1" s="1"/>
  <c r="R91" i="1" s="1"/>
  <c r="P90" i="1"/>
  <c r="Q90" i="1" s="1"/>
  <c r="R90" i="1" s="1"/>
  <c r="P89" i="1"/>
  <c r="Q89" i="1" s="1"/>
  <c r="R89" i="1" s="1"/>
  <c r="P88" i="1"/>
  <c r="Q88" i="1" s="1"/>
  <c r="R88" i="1" s="1"/>
  <c r="P86" i="1"/>
  <c r="Q86" i="1" s="1"/>
  <c r="R86" i="1" s="1"/>
  <c r="Z86" i="1" s="1"/>
  <c r="P85" i="1"/>
  <c r="Q85" i="1" s="1"/>
  <c r="R85" i="1" s="1"/>
  <c r="P84" i="1"/>
  <c r="Q84" i="1" s="1"/>
  <c r="R84" i="1" s="1"/>
  <c r="P82" i="1"/>
  <c r="Q82" i="1" s="1"/>
  <c r="R82" i="1" s="1"/>
  <c r="AG82" i="1" s="1"/>
  <c r="P81" i="1"/>
  <c r="Q81" i="1" s="1"/>
  <c r="R81" i="1" s="1"/>
  <c r="P80" i="1"/>
  <c r="Q80" i="1" s="1"/>
  <c r="R80" i="1" s="1"/>
  <c r="P79" i="1"/>
  <c r="Q79" i="1" s="1"/>
  <c r="R79" i="1" s="1"/>
  <c r="P78" i="1"/>
  <c r="Q78" i="1" s="1"/>
  <c r="R78" i="1" s="1"/>
  <c r="Z78" i="1" s="1"/>
  <c r="P77" i="1"/>
  <c r="Q77" i="1" s="1"/>
  <c r="R77" i="1" s="1"/>
  <c r="P76" i="1"/>
  <c r="Q76" i="1" s="1"/>
  <c r="R76" i="1" s="1"/>
  <c r="P63" i="1"/>
  <c r="Q63" i="1" s="1"/>
  <c r="R63" i="1" s="1"/>
  <c r="V72" i="1"/>
  <c r="AI72" i="1" s="1"/>
  <c r="P25" i="1"/>
  <c r="Q25" i="1" s="1"/>
  <c r="R25" i="1" s="1"/>
  <c r="P12" i="1"/>
  <c r="Q12" i="1" s="1"/>
  <c r="R12" i="1" s="1"/>
  <c r="P10" i="1"/>
  <c r="Q10" i="1" s="1"/>
  <c r="R10" i="1" s="1"/>
  <c r="P66" i="1"/>
  <c r="Q66" i="1" s="1"/>
  <c r="R66" i="1" s="1"/>
  <c r="P58" i="1"/>
  <c r="Q58" i="1" s="1"/>
  <c r="R58" i="1" s="1"/>
  <c r="P50" i="1"/>
  <c r="Q50" i="1" s="1"/>
  <c r="R50" i="1" s="1"/>
  <c r="P42" i="1"/>
  <c r="Q42" i="1" s="1"/>
  <c r="R42" i="1" s="1"/>
  <c r="P34" i="1"/>
  <c r="Q34" i="1" s="1"/>
  <c r="R34" i="1" s="1"/>
  <c r="P26" i="1"/>
  <c r="Q26" i="1" s="1"/>
  <c r="R26" i="1" s="1"/>
  <c r="P18" i="1"/>
  <c r="Q18" i="1" s="1"/>
  <c r="R18" i="1" s="1"/>
  <c r="P55" i="1"/>
  <c r="Q55" i="1" s="1"/>
  <c r="R55" i="1" s="1"/>
  <c r="P47" i="1"/>
  <c r="Q47" i="1" s="1"/>
  <c r="R47" i="1" s="1"/>
  <c r="P39" i="1"/>
  <c r="Q39" i="1" s="1"/>
  <c r="R39" i="1" s="1"/>
  <c r="P31" i="1"/>
  <c r="Q31" i="1" s="1"/>
  <c r="P23" i="1"/>
  <c r="Q23" i="1" s="1"/>
  <c r="R23" i="1" s="1"/>
  <c r="P15" i="1"/>
  <c r="Q15" i="1" s="1"/>
  <c r="R15" i="1" s="1"/>
  <c r="P7" i="1"/>
  <c r="Q7" i="1" s="1"/>
  <c r="R7" i="1" s="1"/>
  <c r="P62" i="1"/>
  <c r="Q62" i="1" s="1"/>
  <c r="P54" i="1"/>
  <c r="Q54" i="1" s="1"/>
  <c r="R54" i="1" s="1"/>
  <c r="P46" i="1"/>
  <c r="Q46" i="1" s="1"/>
  <c r="R46" i="1" s="1"/>
  <c r="P38" i="1"/>
  <c r="Q38" i="1" s="1"/>
  <c r="R38" i="1" s="1"/>
  <c r="AG38" i="1" s="1"/>
  <c r="P30" i="1"/>
  <c r="Q30" i="1" s="1"/>
  <c r="R30" i="1" s="1"/>
  <c r="P22" i="1"/>
  <c r="Q22" i="1" s="1"/>
  <c r="R22" i="1" s="1"/>
  <c r="P14" i="1"/>
  <c r="Q14" i="1" s="1"/>
  <c r="R14" i="1" s="1"/>
  <c r="P6" i="1"/>
  <c r="Q6" i="1" s="1"/>
  <c r="R6" i="1" s="1"/>
  <c r="Q3" i="1"/>
  <c r="R3" i="1" s="1"/>
  <c r="P64" i="1"/>
  <c r="Q64" i="1" s="1"/>
  <c r="R64" i="1" s="1"/>
  <c r="P61" i="1"/>
  <c r="Q61" i="1" s="1"/>
  <c r="R61" i="1" s="1"/>
  <c r="P59" i="1"/>
  <c r="Q59" i="1" s="1"/>
  <c r="R59" i="1" s="1"/>
  <c r="P56" i="1"/>
  <c r="Q56" i="1" s="1"/>
  <c r="R56" i="1" s="1"/>
  <c r="P53" i="1"/>
  <c r="Q53" i="1" s="1"/>
  <c r="R53" i="1" s="1"/>
  <c r="P51" i="1"/>
  <c r="Q51" i="1" s="1"/>
  <c r="P48" i="1"/>
  <c r="Q48" i="1" s="1"/>
  <c r="R48" i="1" s="1"/>
  <c r="P45" i="1"/>
  <c r="Q45" i="1" s="1"/>
  <c r="R45" i="1" s="1"/>
  <c r="P43" i="1"/>
  <c r="Q43" i="1" s="1"/>
  <c r="R43" i="1" s="1"/>
  <c r="P40" i="1"/>
  <c r="Q40" i="1" s="1"/>
  <c r="R40" i="1" s="1"/>
  <c r="P37" i="1"/>
  <c r="Q37" i="1" s="1"/>
  <c r="R37" i="1" s="1"/>
  <c r="P35" i="1"/>
  <c r="Q35" i="1" s="1"/>
  <c r="R35" i="1" s="1"/>
  <c r="P32" i="1"/>
  <c r="Q32" i="1" s="1"/>
  <c r="R32" i="1" s="1"/>
  <c r="P29" i="1"/>
  <c r="Q29" i="1" s="1"/>
  <c r="R29" i="1" s="1"/>
  <c r="P27" i="1"/>
  <c r="Q27" i="1" s="1"/>
  <c r="R27" i="1" s="1"/>
  <c r="P24" i="1"/>
  <c r="Q24" i="1" s="1"/>
  <c r="R24" i="1" s="1"/>
  <c r="P21" i="1"/>
  <c r="Q21" i="1" s="1"/>
  <c r="R21" i="1" s="1"/>
  <c r="P19" i="1"/>
  <c r="Q19" i="1" s="1"/>
  <c r="R19" i="1" s="1"/>
  <c r="P16" i="1"/>
  <c r="Q16" i="1" s="1"/>
  <c r="R16" i="1" s="1"/>
  <c r="P13" i="1"/>
  <c r="Q13" i="1" s="1"/>
  <c r="R13" i="1" s="1"/>
  <c r="P11" i="1"/>
  <c r="Q11" i="1" s="1"/>
  <c r="R11" i="1" s="1"/>
  <c r="P8" i="1"/>
  <c r="Q8" i="1" s="1"/>
  <c r="R8" i="1" s="1"/>
  <c r="P65" i="1"/>
  <c r="Q65" i="1" s="1"/>
  <c r="R65" i="1" s="1"/>
  <c r="P60" i="1"/>
  <c r="Q60" i="1" s="1"/>
  <c r="R60" i="1" s="1"/>
  <c r="P57" i="1"/>
  <c r="Q57" i="1" s="1"/>
  <c r="R57" i="1" s="1"/>
  <c r="P52" i="1"/>
  <c r="Q52" i="1" s="1"/>
  <c r="R52" i="1" s="1"/>
  <c r="P49" i="1"/>
  <c r="Q49" i="1" s="1"/>
  <c r="R49" i="1" s="1"/>
  <c r="P44" i="1"/>
  <c r="Q44" i="1" s="1"/>
  <c r="R44" i="1" s="1"/>
  <c r="P41" i="1"/>
  <c r="Q41" i="1" s="1"/>
  <c r="P36" i="1"/>
  <c r="Q36" i="1" s="1"/>
  <c r="R36" i="1" s="1"/>
  <c r="P33" i="1"/>
  <c r="Q33" i="1" s="1"/>
  <c r="R33" i="1" s="1"/>
  <c r="P28" i="1"/>
  <c r="Q28" i="1" s="1"/>
  <c r="R28" i="1" s="1"/>
  <c r="P20" i="1"/>
  <c r="Q20" i="1" s="1"/>
  <c r="R20" i="1" s="1"/>
  <c r="P17" i="1"/>
  <c r="Q17" i="1" s="1"/>
  <c r="R17" i="1" s="1"/>
  <c r="P9" i="1"/>
  <c r="Q9" i="1" s="1"/>
  <c r="R9" i="1" s="1"/>
  <c r="P5" i="1"/>
  <c r="Q5" i="1" s="1"/>
  <c r="R5" i="1" s="1"/>
  <c r="P4" i="1"/>
  <c r="Q4" i="1" s="1"/>
  <c r="R4" i="1" s="1"/>
  <c r="U305" i="1" l="1"/>
  <c r="X305" i="1" s="1"/>
  <c r="U433" i="1"/>
  <c r="Z478" i="1"/>
  <c r="V354" i="1"/>
  <c r="AI354" i="1" s="1"/>
  <c r="T418" i="1"/>
  <c r="AB418" i="1" s="1"/>
  <c r="AH418" i="1" s="1"/>
  <c r="V418" i="1"/>
  <c r="AI418" i="1" s="1"/>
  <c r="V401" i="1"/>
  <c r="AI401" i="1" s="1"/>
  <c r="T305" i="1"/>
  <c r="AB305" i="1" s="1"/>
  <c r="U370" i="1"/>
  <c r="Z187" i="1"/>
  <c r="AG370" i="1"/>
  <c r="U478" i="1"/>
  <c r="X478" i="1" s="1"/>
  <c r="Z370" i="1"/>
  <c r="U409" i="1"/>
  <c r="X409" i="1" s="1"/>
  <c r="V478" i="1"/>
  <c r="AI478" i="1" s="1"/>
  <c r="AG478" i="1"/>
  <c r="AH478" i="1" s="1"/>
  <c r="Z322" i="1"/>
  <c r="AG322" i="1"/>
  <c r="Z470" i="1"/>
  <c r="U470" i="1"/>
  <c r="AG450" i="1"/>
  <c r="U406" i="1"/>
  <c r="U266" i="1"/>
  <c r="X266" i="1" s="1"/>
  <c r="V237" i="1"/>
  <c r="AI237" i="1" s="1"/>
  <c r="Z226" i="1"/>
  <c r="AG221" i="1"/>
  <c r="AH221" i="1" s="1"/>
  <c r="V221" i="1"/>
  <c r="AI221" i="1" s="1"/>
  <c r="T467" i="1"/>
  <c r="AB467" i="1" s="1"/>
  <c r="U467" i="1"/>
  <c r="X467" i="1" s="1"/>
  <c r="Z204" i="1"/>
  <c r="U204" i="1"/>
  <c r="X204" i="1" s="1"/>
  <c r="AG332" i="1"/>
  <c r="V332" i="1"/>
  <c r="AI332" i="1" s="1"/>
  <c r="T332" i="1"/>
  <c r="AB332" i="1" s="1"/>
  <c r="Z332" i="1"/>
  <c r="U332" i="1"/>
  <c r="X332" i="1" s="1"/>
  <c r="T346" i="1"/>
  <c r="AB346" i="1" s="1"/>
  <c r="AG346" i="1"/>
  <c r="Z346" i="1"/>
  <c r="U346" i="1"/>
  <c r="X346" i="1" s="1"/>
  <c r="V346" i="1"/>
  <c r="AI346" i="1" s="1"/>
  <c r="Z410" i="1"/>
  <c r="AG410" i="1"/>
  <c r="T410" i="1"/>
  <c r="AB410" i="1" s="1"/>
  <c r="U410" i="1"/>
  <c r="X410" i="1" s="1"/>
  <c r="Z325" i="1"/>
  <c r="T325" i="1"/>
  <c r="AB325" i="1" s="1"/>
  <c r="T268" i="1"/>
  <c r="AB268" i="1" s="1"/>
  <c r="V268" i="1"/>
  <c r="AI268" i="1" s="1"/>
  <c r="U268" i="1"/>
  <c r="X268" i="1" s="1"/>
  <c r="AG399" i="1"/>
  <c r="V470" i="1"/>
  <c r="AI470" i="1" s="1"/>
  <c r="U474" i="1"/>
  <c r="X474" i="1" s="1"/>
  <c r="U437" i="1"/>
  <c r="X437" i="1" s="1"/>
  <c r="Z399" i="1"/>
  <c r="Z429" i="1"/>
  <c r="AG474" i="1"/>
  <c r="AH474" i="1" s="1"/>
  <c r="V437" i="1"/>
  <c r="AI437" i="1" s="1"/>
  <c r="Z474" i="1"/>
  <c r="AG437" i="1"/>
  <c r="T399" i="1"/>
  <c r="AB399" i="1" s="1"/>
  <c r="U218" i="1"/>
  <c r="X218" i="1" s="1"/>
  <c r="V399" i="1"/>
  <c r="AI399" i="1" s="1"/>
  <c r="V474" i="1"/>
  <c r="AI474" i="1" s="1"/>
  <c r="T437" i="1"/>
  <c r="AB437" i="1" s="1"/>
  <c r="AG317" i="1"/>
  <c r="Z418" i="1"/>
  <c r="T401" i="1"/>
  <c r="AB401" i="1" s="1"/>
  <c r="V406" i="1"/>
  <c r="AI406" i="1" s="1"/>
  <c r="T301" i="1"/>
  <c r="AB301" i="1" s="1"/>
  <c r="V338" i="1"/>
  <c r="AI338" i="1" s="1"/>
  <c r="V187" i="1"/>
  <c r="AI187" i="1" s="1"/>
  <c r="U187" i="1"/>
  <c r="X187" i="1" s="1"/>
  <c r="AG187" i="1"/>
  <c r="AH187" i="1" s="1"/>
  <c r="AG326" i="1"/>
  <c r="V326" i="1"/>
  <c r="AI326" i="1" s="1"/>
  <c r="Z234" i="1"/>
  <c r="U234" i="1"/>
  <c r="X234" i="1" s="1"/>
  <c r="V234" i="1"/>
  <c r="AI234" i="1" s="1"/>
  <c r="T234" i="1"/>
  <c r="AB234" i="1" s="1"/>
  <c r="AG234" i="1"/>
  <c r="V433" i="1"/>
  <c r="AI433" i="1" s="1"/>
  <c r="U212" i="1"/>
  <c r="X212" i="1" s="1"/>
  <c r="AG268" i="1"/>
  <c r="Z221" i="1"/>
  <c r="V202" i="1"/>
  <c r="AI202" i="1" s="1"/>
  <c r="Z433" i="1"/>
  <c r="T284" i="1"/>
  <c r="AB284" i="1" s="1"/>
  <c r="V410" i="1"/>
  <c r="AI410" i="1" s="1"/>
  <c r="T381" i="1"/>
  <c r="AB381" i="1" s="1"/>
  <c r="V212" i="1"/>
  <c r="AI212" i="1" s="1"/>
  <c r="Z268" i="1"/>
  <c r="U284" i="1"/>
  <c r="X284" i="1" s="1"/>
  <c r="AG285" i="1"/>
  <c r="V275" i="1"/>
  <c r="AI275" i="1" s="1"/>
  <c r="AG466" i="1"/>
  <c r="AH466" i="1" s="1"/>
  <c r="U221" i="1"/>
  <c r="X221" i="1" s="1"/>
  <c r="U451" i="1"/>
  <c r="X451" i="1" s="1"/>
  <c r="AG430" i="1"/>
  <c r="Z430" i="1"/>
  <c r="V430" i="1"/>
  <c r="AI430" i="1" s="1"/>
  <c r="AG293" i="1"/>
  <c r="V293" i="1"/>
  <c r="AI293" i="1" s="1"/>
  <c r="U293" i="1"/>
  <c r="X293" i="1" s="1"/>
  <c r="T293" i="1"/>
  <c r="AB293" i="1" s="1"/>
  <c r="Z293" i="1"/>
  <c r="V442" i="1"/>
  <c r="AI442" i="1" s="1"/>
  <c r="AG442" i="1"/>
  <c r="AG455" i="1"/>
  <c r="Z455" i="1"/>
  <c r="Z250" i="1"/>
  <c r="AG250" i="1"/>
  <c r="V250" i="1"/>
  <c r="AI250" i="1" s="1"/>
  <c r="U250" i="1"/>
  <c r="X250" i="1" s="1"/>
  <c r="T250" i="1"/>
  <c r="AB250" i="1" s="1"/>
  <c r="Z211" i="1"/>
  <c r="AG211" i="1"/>
  <c r="T472" i="1"/>
  <c r="AB472" i="1" s="1"/>
  <c r="Z472" i="1"/>
  <c r="V472" i="1"/>
  <c r="AI472" i="1" s="1"/>
  <c r="V378" i="1"/>
  <c r="AI378" i="1" s="1"/>
  <c r="Z378" i="1"/>
  <c r="AG378" i="1"/>
  <c r="T378" i="1"/>
  <c r="AB378" i="1" s="1"/>
  <c r="U378" i="1"/>
  <c r="X378" i="1" s="1"/>
  <c r="AG366" i="1"/>
  <c r="T366" i="1"/>
  <c r="AB366" i="1" s="1"/>
  <c r="V366" i="1"/>
  <c r="AI366" i="1" s="1"/>
  <c r="U366" i="1"/>
  <c r="X366" i="1" s="1"/>
  <c r="Z366" i="1"/>
  <c r="U262" i="1"/>
  <c r="X262" i="1" s="1"/>
  <c r="AG262" i="1"/>
  <c r="U466" i="1"/>
  <c r="X466" i="1" s="1"/>
  <c r="T275" i="1"/>
  <c r="AB275" i="1" s="1"/>
  <c r="T204" i="1"/>
  <c r="AB204" i="1" s="1"/>
  <c r="V466" i="1"/>
  <c r="AI466" i="1" s="1"/>
  <c r="T338" i="1"/>
  <c r="AB338" i="1" s="1"/>
  <c r="U275" i="1"/>
  <c r="X275" i="1" s="1"/>
  <c r="Z317" i="1"/>
  <c r="V204" i="1"/>
  <c r="AI204" i="1" s="1"/>
  <c r="U342" i="1"/>
  <c r="Z466" i="1"/>
  <c r="AG338" i="1"/>
  <c r="AG204" i="1"/>
  <c r="U220" i="1"/>
  <c r="X220" i="1" s="1"/>
  <c r="AG373" i="1"/>
  <c r="AG258" i="1"/>
  <c r="U317" i="1"/>
  <c r="X317" i="1" s="1"/>
  <c r="V317" i="1"/>
  <c r="AI317" i="1" s="1"/>
  <c r="Z395" i="1"/>
  <c r="AG395" i="1"/>
  <c r="V395" i="1"/>
  <c r="AI395" i="1" s="1"/>
  <c r="Z459" i="1"/>
  <c r="AG459" i="1"/>
  <c r="V459" i="1"/>
  <c r="AI459" i="1" s="1"/>
  <c r="T230" i="1"/>
  <c r="AB230" i="1" s="1"/>
  <c r="U230" i="1"/>
  <c r="X230" i="1" s="1"/>
  <c r="Z302" i="1"/>
  <c r="V302" i="1"/>
  <c r="AI302" i="1" s="1"/>
  <c r="T302" i="1"/>
  <c r="AB302" i="1" s="1"/>
  <c r="U302" i="1"/>
  <c r="X302" i="1" s="1"/>
  <c r="U75" i="1"/>
  <c r="X75" i="1" s="1"/>
  <c r="AG75" i="1"/>
  <c r="Z260" i="1"/>
  <c r="U325" i="1"/>
  <c r="X325" i="1" s="1"/>
  <c r="V325" i="1"/>
  <c r="AI325" i="1" s="1"/>
  <c r="T306" i="1"/>
  <c r="AB306" i="1" s="1"/>
  <c r="V306" i="1"/>
  <c r="AI306" i="1" s="1"/>
  <c r="AG325" i="1"/>
  <c r="U306" i="1"/>
  <c r="X306" i="1" s="1"/>
  <c r="AG306" i="1"/>
  <c r="V173" i="1"/>
  <c r="AI173" i="1" s="1"/>
  <c r="T198" i="1"/>
  <c r="AB198" i="1" s="1"/>
  <c r="AG173" i="1"/>
  <c r="T244" i="1"/>
  <c r="AB244" i="1" s="1"/>
  <c r="U244" i="1"/>
  <c r="X244" i="1" s="1"/>
  <c r="Z460" i="1"/>
  <c r="Z285" i="1"/>
  <c r="Z75" i="1"/>
  <c r="T455" i="1"/>
  <c r="AB455" i="1" s="1"/>
  <c r="U441" i="1"/>
  <c r="X441" i="1" s="1"/>
  <c r="T394" i="1"/>
  <c r="AB394" i="1" s="1"/>
  <c r="U361" i="1"/>
  <c r="X361" i="1" s="1"/>
  <c r="T441" i="1"/>
  <c r="AB441" i="1" s="1"/>
  <c r="T315" i="1"/>
  <c r="AB315" i="1" s="1"/>
  <c r="U394" i="1"/>
  <c r="X394" i="1" s="1"/>
  <c r="U455" i="1"/>
  <c r="X455" i="1" s="1"/>
  <c r="T361" i="1"/>
  <c r="AB361" i="1" s="1"/>
  <c r="V441" i="1"/>
  <c r="AI441" i="1" s="1"/>
  <c r="V394" i="1"/>
  <c r="AI394" i="1" s="1"/>
  <c r="T251" i="1"/>
  <c r="AB251" i="1" s="1"/>
  <c r="T443" i="1"/>
  <c r="AB443" i="1" s="1"/>
  <c r="V361" i="1"/>
  <c r="AI361" i="1" s="1"/>
  <c r="AG441" i="1"/>
  <c r="T285" i="1"/>
  <c r="AB285" i="1" s="1"/>
  <c r="AG394" i="1"/>
  <c r="T75" i="1"/>
  <c r="AB75" i="1" s="1"/>
  <c r="U251" i="1"/>
  <c r="X251" i="1" s="1"/>
  <c r="Z383" i="1"/>
  <c r="V455" i="1"/>
  <c r="AI455" i="1" s="1"/>
  <c r="AG361" i="1"/>
  <c r="U285" i="1"/>
  <c r="X285" i="1" s="1"/>
  <c r="V75" i="1"/>
  <c r="AI75" i="1" s="1"/>
  <c r="V251" i="1"/>
  <c r="AI251" i="1" s="1"/>
  <c r="T379" i="1"/>
  <c r="AB379" i="1" s="1"/>
  <c r="AG251" i="1"/>
  <c r="U157" i="1"/>
  <c r="X157" i="1" s="1"/>
  <c r="V157" i="1"/>
  <c r="AI157" i="1" s="1"/>
  <c r="AG388" i="1"/>
  <c r="V388" i="1"/>
  <c r="AI388" i="1" s="1"/>
  <c r="U388" i="1"/>
  <c r="X388" i="1" s="1"/>
  <c r="T388" i="1"/>
  <c r="AB388" i="1" s="1"/>
  <c r="Z388" i="1"/>
  <c r="Z245" i="1"/>
  <c r="AG245" i="1"/>
  <c r="Z171" i="1"/>
  <c r="AG171" i="1"/>
  <c r="U171" i="1"/>
  <c r="X171" i="1" s="1"/>
  <c r="Z181" i="1"/>
  <c r="AG181" i="1"/>
  <c r="V181" i="1"/>
  <c r="AI181" i="1" s="1"/>
  <c r="U181" i="1"/>
  <c r="X181" i="1" s="1"/>
  <c r="T181" i="1"/>
  <c r="AB181" i="1" s="1"/>
  <c r="Z452" i="1"/>
  <c r="AG452" i="1"/>
  <c r="V452" i="1"/>
  <c r="AI452" i="1" s="1"/>
  <c r="U452" i="1"/>
  <c r="X452" i="1" s="1"/>
  <c r="T452" i="1"/>
  <c r="AB452" i="1" s="1"/>
  <c r="Z309" i="1"/>
  <c r="AG309" i="1"/>
  <c r="U309" i="1"/>
  <c r="X309" i="1" s="1"/>
  <c r="U356" i="1"/>
  <c r="X356" i="1" s="1"/>
  <c r="T356" i="1"/>
  <c r="AB356" i="1" s="1"/>
  <c r="U253" i="1"/>
  <c r="X253" i="1" s="1"/>
  <c r="T253" i="1"/>
  <c r="AB253" i="1" s="1"/>
  <c r="Z253" i="1"/>
  <c r="V253" i="1"/>
  <c r="AI253" i="1" s="1"/>
  <c r="AG253" i="1"/>
  <c r="Z323" i="1"/>
  <c r="AG323" i="1"/>
  <c r="U323" i="1"/>
  <c r="X323" i="1" s="1"/>
  <c r="T323" i="1"/>
  <c r="AB323" i="1" s="1"/>
  <c r="V323" i="1"/>
  <c r="AI323" i="1" s="1"/>
  <c r="Z387" i="1"/>
  <c r="AG387" i="1"/>
  <c r="U387" i="1"/>
  <c r="X387" i="1" s="1"/>
  <c r="T387" i="1"/>
  <c r="AB387" i="1" s="1"/>
  <c r="V387" i="1"/>
  <c r="AI387" i="1" s="1"/>
  <c r="Z278" i="1"/>
  <c r="V278" i="1"/>
  <c r="AI278" i="1" s="1"/>
  <c r="AG222" i="1"/>
  <c r="V222" i="1"/>
  <c r="AI222" i="1" s="1"/>
  <c r="Z222" i="1"/>
  <c r="U222" i="1"/>
  <c r="X222" i="1" s="1"/>
  <c r="T222" i="1"/>
  <c r="AB222" i="1" s="1"/>
  <c r="Z350" i="1"/>
  <c r="AG350" i="1"/>
  <c r="V350" i="1"/>
  <c r="AI350" i="1" s="1"/>
  <c r="T350" i="1"/>
  <c r="AB350" i="1" s="1"/>
  <c r="U350" i="1"/>
  <c r="X350" i="1" s="1"/>
  <c r="Z390" i="1"/>
  <c r="U390" i="1"/>
  <c r="X390" i="1" s="1"/>
  <c r="AG364" i="1"/>
  <c r="Z364" i="1"/>
  <c r="AG308" i="1"/>
  <c r="T308" i="1"/>
  <c r="AB308" i="1" s="1"/>
  <c r="Z453" i="1"/>
  <c r="AG453" i="1"/>
  <c r="V453" i="1"/>
  <c r="AI453" i="1" s="1"/>
  <c r="T445" i="1"/>
  <c r="AB445" i="1" s="1"/>
  <c r="Z445" i="1"/>
  <c r="U427" i="1"/>
  <c r="X427" i="1" s="1"/>
  <c r="T427" i="1"/>
  <c r="AB427" i="1" s="1"/>
  <c r="V316" i="1"/>
  <c r="AI316" i="1" s="1"/>
  <c r="AG316" i="1"/>
  <c r="Z380" i="1"/>
  <c r="AG380" i="1"/>
  <c r="T380" i="1"/>
  <c r="AB380" i="1" s="1"/>
  <c r="V244" i="1"/>
  <c r="AI244" i="1" s="1"/>
  <c r="AG237" i="1"/>
  <c r="Z373" i="1"/>
  <c r="AG218" i="1"/>
  <c r="U301" i="1"/>
  <c r="X301" i="1" s="1"/>
  <c r="AG451" i="1"/>
  <c r="U307" i="1"/>
  <c r="X307" i="1" s="1"/>
  <c r="AG244" i="1"/>
  <c r="Z237" i="1"/>
  <c r="V301" i="1"/>
  <c r="AI301" i="1" s="1"/>
  <c r="AG307" i="1"/>
  <c r="AG301" i="1"/>
  <c r="Z307" i="1"/>
  <c r="U473" i="1"/>
  <c r="X473" i="1" s="1"/>
  <c r="T373" i="1"/>
  <c r="AB373" i="1" s="1"/>
  <c r="V203" i="1"/>
  <c r="AI203" i="1" s="1"/>
  <c r="V473" i="1"/>
  <c r="AI473" i="1" s="1"/>
  <c r="T237" i="1"/>
  <c r="AB237" i="1" s="1"/>
  <c r="AH237" i="1" s="1"/>
  <c r="U373" i="1"/>
  <c r="X373" i="1" s="1"/>
  <c r="T218" i="1"/>
  <c r="AB218" i="1" s="1"/>
  <c r="AH218" i="1" s="1"/>
  <c r="AG389" i="1"/>
  <c r="AH389" i="1" s="1"/>
  <c r="U203" i="1"/>
  <c r="X203" i="1" s="1"/>
  <c r="V451" i="1"/>
  <c r="AI451" i="1" s="1"/>
  <c r="V218" i="1"/>
  <c r="AI218" i="1" s="1"/>
  <c r="AG203" i="1"/>
  <c r="AH203" i="1" s="1"/>
  <c r="T451" i="1"/>
  <c r="AB451" i="1" s="1"/>
  <c r="U283" i="1"/>
  <c r="X283" i="1" s="1"/>
  <c r="V283" i="1"/>
  <c r="AI283" i="1" s="1"/>
  <c r="T283" i="1"/>
  <c r="AB283" i="1" s="1"/>
  <c r="Z283" i="1"/>
  <c r="AG283" i="1"/>
  <c r="V477" i="1"/>
  <c r="AI477" i="1" s="1"/>
  <c r="U477" i="1"/>
  <c r="X477" i="1" s="1"/>
  <c r="T477" i="1"/>
  <c r="AB477" i="1" s="1"/>
  <c r="Z477" i="1"/>
  <c r="AG477" i="1"/>
  <c r="Z162" i="1"/>
  <c r="AG162" i="1"/>
  <c r="U162" i="1"/>
  <c r="X162" i="1" s="1"/>
  <c r="V162" i="1"/>
  <c r="AI162" i="1" s="1"/>
  <c r="T162" i="1"/>
  <c r="AB162" i="1" s="1"/>
  <c r="Z219" i="1"/>
  <c r="AG219" i="1"/>
  <c r="V219" i="1"/>
  <c r="AI219" i="1" s="1"/>
  <c r="T219" i="1"/>
  <c r="AB219" i="1" s="1"/>
  <c r="U219" i="1"/>
  <c r="X219" i="1" s="1"/>
  <c r="Z475" i="1"/>
  <c r="AG475" i="1"/>
  <c r="U475" i="1"/>
  <c r="X475" i="1" s="1"/>
  <c r="V475" i="1"/>
  <c r="AI475" i="1" s="1"/>
  <c r="T475" i="1"/>
  <c r="AB475" i="1" s="1"/>
  <c r="AG189" i="1"/>
  <c r="Z189" i="1"/>
  <c r="V189" i="1"/>
  <c r="AI189" i="1" s="1"/>
  <c r="U189" i="1"/>
  <c r="X189" i="1" s="1"/>
  <c r="T189" i="1"/>
  <c r="AB189" i="1" s="1"/>
  <c r="T261" i="1"/>
  <c r="AB261" i="1" s="1"/>
  <c r="U261" i="1"/>
  <c r="X261" i="1" s="1"/>
  <c r="V261" i="1"/>
  <c r="AI261" i="1" s="1"/>
  <c r="Z261" i="1"/>
  <c r="AG261" i="1"/>
  <c r="V333" i="1"/>
  <c r="AI333" i="1" s="1"/>
  <c r="T333" i="1"/>
  <c r="AB333" i="1" s="1"/>
  <c r="Z333" i="1"/>
  <c r="AG333" i="1"/>
  <c r="U333" i="1"/>
  <c r="X333" i="1" s="1"/>
  <c r="Z397" i="1"/>
  <c r="AG397" i="1"/>
  <c r="V397" i="1"/>
  <c r="AI397" i="1" s="1"/>
  <c r="U397" i="1"/>
  <c r="X397" i="1" s="1"/>
  <c r="T397" i="1"/>
  <c r="AB397" i="1" s="1"/>
  <c r="Z318" i="1"/>
  <c r="V318" i="1"/>
  <c r="AI318" i="1" s="1"/>
  <c r="T318" i="1"/>
  <c r="AB318" i="1" s="1"/>
  <c r="T371" i="1"/>
  <c r="AB371" i="1" s="1"/>
  <c r="Z371" i="1"/>
  <c r="AG371" i="1"/>
  <c r="U371" i="1"/>
  <c r="X371" i="1" s="1"/>
  <c r="V371" i="1"/>
  <c r="AI371" i="1" s="1"/>
  <c r="Z411" i="1"/>
  <c r="AG411" i="1"/>
  <c r="U411" i="1"/>
  <c r="X411" i="1" s="1"/>
  <c r="V411" i="1"/>
  <c r="AI411" i="1" s="1"/>
  <c r="T411" i="1"/>
  <c r="AB411" i="1" s="1"/>
  <c r="V205" i="1"/>
  <c r="AI205" i="1" s="1"/>
  <c r="Z205" i="1"/>
  <c r="U205" i="1"/>
  <c r="X205" i="1" s="1"/>
  <c r="T205" i="1"/>
  <c r="AB205" i="1" s="1"/>
  <c r="AG205" i="1"/>
  <c r="V269" i="1"/>
  <c r="AI269" i="1" s="1"/>
  <c r="AG269" i="1"/>
  <c r="U269" i="1"/>
  <c r="X269" i="1" s="1"/>
  <c r="Z269" i="1"/>
  <c r="T269" i="1"/>
  <c r="AB269" i="1" s="1"/>
  <c r="U341" i="1"/>
  <c r="X341" i="1" s="1"/>
  <c r="T341" i="1"/>
  <c r="AB341" i="1" s="1"/>
  <c r="AG341" i="1"/>
  <c r="V341" i="1"/>
  <c r="AI341" i="1" s="1"/>
  <c r="Z341" i="1"/>
  <c r="U405" i="1"/>
  <c r="X405" i="1" s="1"/>
  <c r="AG405" i="1"/>
  <c r="V405" i="1"/>
  <c r="AI405" i="1" s="1"/>
  <c r="T405" i="1"/>
  <c r="AB405" i="1" s="1"/>
  <c r="Z405" i="1"/>
  <c r="Z413" i="1"/>
  <c r="AG413" i="1"/>
  <c r="V413" i="1"/>
  <c r="AI413" i="1" s="1"/>
  <c r="U413" i="1"/>
  <c r="X413" i="1" s="1"/>
  <c r="T413" i="1"/>
  <c r="AB413" i="1" s="1"/>
  <c r="T227" i="1"/>
  <c r="AB227" i="1" s="1"/>
  <c r="V227" i="1"/>
  <c r="AI227" i="1" s="1"/>
  <c r="Z227" i="1"/>
  <c r="AG227" i="1"/>
  <c r="U227" i="1"/>
  <c r="X227" i="1" s="1"/>
  <c r="Z291" i="1"/>
  <c r="AG291" i="1"/>
  <c r="T291" i="1"/>
  <c r="AB291" i="1" s="1"/>
  <c r="U291" i="1"/>
  <c r="X291" i="1" s="1"/>
  <c r="V291" i="1"/>
  <c r="AI291" i="1" s="1"/>
  <c r="V355" i="1"/>
  <c r="AI355" i="1" s="1"/>
  <c r="U355" i="1"/>
  <c r="X355" i="1" s="1"/>
  <c r="T355" i="1"/>
  <c r="AB355" i="1" s="1"/>
  <c r="Z355" i="1"/>
  <c r="AG355" i="1"/>
  <c r="T254" i="1"/>
  <c r="AB254" i="1" s="1"/>
  <c r="Z254" i="1"/>
  <c r="Z469" i="1"/>
  <c r="T469" i="1"/>
  <c r="AB469" i="1" s="1"/>
  <c r="AG469" i="1"/>
  <c r="V469" i="1"/>
  <c r="AI469" i="1" s="1"/>
  <c r="U469" i="1"/>
  <c r="X469" i="1" s="1"/>
  <c r="V213" i="1"/>
  <c r="AI213" i="1" s="1"/>
  <c r="Z213" i="1"/>
  <c r="U213" i="1"/>
  <c r="X213" i="1" s="1"/>
  <c r="AG213" i="1"/>
  <c r="T213" i="1"/>
  <c r="AB213" i="1" s="1"/>
  <c r="Z277" i="1"/>
  <c r="AG277" i="1"/>
  <c r="V277" i="1"/>
  <c r="AI277" i="1" s="1"/>
  <c r="U277" i="1"/>
  <c r="X277" i="1" s="1"/>
  <c r="T277" i="1"/>
  <c r="AB277" i="1" s="1"/>
  <c r="AG349" i="1"/>
  <c r="Z349" i="1"/>
  <c r="V349" i="1"/>
  <c r="AI349" i="1" s="1"/>
  <c r="U349" i="1"/>
  <c r="X349" i="1" s="1"/>
  <c r="T349" i="1"/>
  <c r="AB349" i="1" s="1"/>
  <c r="T421" i="1"/>
  <c r="AB421" i="1" s="1"/>
  <c r="V421" i="1"/>
  <c r="AI421" i="1" s="1"/>
  <c r="U421" i="1"/>
  <c r="X421" i="1" s="1"/>
  <c r="Z421" i="1"/>
  <c r="AG421" i="1"/>
  <c r="T155" i="1"/>
  <c r="AB155" i="1" s="1"/>
  <c r="AG155" i="1"/>
  <c r="U155" i="1"/>
  <c r="X155" i="1" s="1"/>
  <c r="Z155" i="1"/>
  <c r="V155" i="1"/>
  <c r="AI155" i="1" s="1"/>
  <c r="V179" i="1"/>
  <c r="AI179" i="1" s="1"/>
  <c r="T179" i="1"/>
  <c r="AB179" i="1" s="1"/>
  <c r="Z179" i="1"/>
  <c r="U179" i="1"/>
  <c r="X179" i="1" s="1"/>
  <c r="AG179" i="1"/>
  <c r="Z347" i="1"/>
  <c r="AG347" i="1"/>
  <c r="V347" i="1"/>
  <c r="AI347" i="1" s="1"/>
  <c r="U347" i="1"/>
  <c r="X347" i="1" s="1"/>
  <c r="T347" i="1"/>
  <c r="AB347" i="1" s="1"/>
  <c r="Z292" i="1"/>
  <c r="U292" i="1"/>
  <c r="X292" i="1" s="1"/>
  <c r="AG428" i="1"/>
  <c r="T428" i="1"/>
  <c r="AB428" i="1" s="1"/>
  <c r="V428" i="1"/>
  <c r="AI428" i="1" s="1"/>
  <c r="V3" i="1"/>
  <c r="AI3" i="1" s="1"/>
  <c r="AG3" i="1"/>
  <c r="Z3" i="1"/>
  <c r="U3" i="1"/>
  <c r="X3" i="1" s="1"/>
  <c r="T3" i="1"/>
  <c r="AB3" i="1" s="1"/>
  <c r="Z238" i="1"/>
  <c r="AG238" i="1"/>
  <c r="V238" i="1"/>
  <c r="AI238" i="1" s="1"/>
  <c r="U238" i="1"/>
  <c r="X238" i="1" s="1"/>
  <c r="T238" i="1"/>
  <c r="AB238" i="1" s="1"/>
  <c r="AG235" i="1"/>
  <c r="V235" i="1"/>
  <c r="AI235" i="1" s="1"/>
  <c r="U235" i="1"/>
  <c r="X235" i="1" s="1"/>
  <c r="Z235" i="1"/>
  <c r="T235" i="1"/>
  <c r="AB235" i="1" s="1"/>
  <c r="V243" i="1"/>
  <c r="AI243" i="1" s="1"/>
  <c r="T243" i="1"/>
  <c r="AB243" i="1" s="1"/>
  <c r="Z243" i="1"/>
  <c r="AG243" i="1"/>
  <c r="U243" i="1"/>
  <c r="X243" i="1" s="1"/>
  <c r="U9" i="1"/>
  <c r="X9" i="1" s="1"/>
  <c r="T9" i="1"/>
  <c r="AB9" i="1" s="1"/>
  <c r="AG9" i="1"/>
  <c r="Z9" i="1"/>
  <c r="V9" i="1"/>
  <c r="AI9" i="1" s="1"/>
  <c r="Z363" i="1"/>
  <c r="AG363" i="1"/>
  <c r="U363" i="1"/>
  <c r="X363" i="1" s="1"/>
  <c r="V363" i="1"/>
  <c r="AI363" i="1" s="1"/>
  <c r="T363" i="1"/>
  <c r="AB363" i="1" s="1"/>
  <c r="V461" i="1"/>
  <c r="AI461" i="1" s="1"/>
  <c r="U461" i="1"/>
  <c r="X461" i="1" s="1"/>
  <c r="T461" i="1"/>
  <c r="AB461" i="1" s="1"/>
  <c r="Z461" i="1"/>
  <c r="AG461" i="1"/>
  <c r="T457" i="1"/>
  <c r="AB457" i="1" s="1"/>
  <c r="U457" i="1"/>
  <c r="X457" i="1" s="1"/>
  <c r="Z457" i="1"/>
  <c r="AG457" i="1"/>
  <c r="V457" i="1"/>
  <c r="AI457" i="1" s="1"/>
  <c r="Z4" i="1"/>
  <c r="V4" i="1"/>
  <c r="AI4" i="1" s="1"/>
  <c r="AG4" i="1"/>
  <c r="U4" i="1"/>
  <c r="X4" i="1" s="1"/>
  <c r="T4" i="1"/>
  <c r="AB4" i="1" s="1"/>
  <c r="Z403" i="1"/>
  <c r="AG403" i="1"/>
  <c r="AH403" i="1" s="1"/>
  <c r="V403" i="1"/>
  <c r="AI403" i="1" s="1"/>
  <c r="Z5" i="1"/>
  <c r="V5" i="1"/>
  <c r="AI5" i="1" s="1"/>
  <c r="AG5" i="1"/>
  <c r="U5" i="1"/>
  <c r="X5" i="1" s="1"/>
  <c r="T5" i="1"/>
  <c r="AB5" i="1" s="1"/>
  <c r="U468" i="1"/>
  <c r="X468" i="1" s="1"/>
  <c r="Z389" i="1"/>
  <c r="U403" i="1"/>
  <c r="X403" i="1" s="1"/>
  <c r="Z267" i="1"/>
  <c r="AG267" i="1"/>
  <c r="V267" i="1"/>
  <c r="AI267" i="1" s="1"/>
  <c r="T446" i="1"/>
  <c r="AB446" i="1" s="1"/>
  <c r="AG305" i="1"/>
  <c r="Z244" i="1"/>
  <c r="T340" i="1"/>
  <c r="AB340" i="1" s="1"/>
  <c r="V404" i="1"/>
  <c r="AI404" i="1" s="1"/>
  <c r="V468" i="1"/>
  <c r="AI468" i="1" s="1"/>
  <c r="U286" i="1"/>
  <c r="X286" i="1" s="1"/>
  <c r="AG302" i="1"/>
  <c r="V414" i="1"/>
  <c r="AI414" i="1" s="1"/>
  <c r="V446" i="1"/>
  <c r="AI446" i="1" s="1"/>
  <c r="Z203" i="1"/>
  <c r="U259" i="1"/>
  <c r="X259" i="1" s="1"/>
  <c r="AG275" i="1"/>
  <c r="V299" i="1"/>
  <c r="AI299" i="1" s="1"/>
  <c r="V427" i="1"/>
  <c r="AI427" i="1" s="1"/>
  <c r="U211" i="1"/>
  <c r="X211" i="1" s="1"/>
  <c r="V211" i="1"/>
  <c r="AI211" i="1" s="1"/>
  <c r="T211" i="1"/>
  <c r="AB211" i="1" s="1"/>
  <c r="AH211" i="1" s="1"/>
  <c r="V429" i="1"/>
  <c r="AI429" i="1" s="1"/>
  <c r="U429" i="1"/>
  <c r="X429" i="1" s="1"/>
  <c r="T429" i="1"/>
  <c r="AB429" i="1" s="1"/>
  <c r="AH429" i="1" s="1"/>
  <c r="U414" i="1"/>
  <c r="X414" i="1" s="1"/>
  <c r="AG412" i="1"/>
  <c r="Z412" i="1"/>
  <c r="T404" i="1"/>
  <c r="AB404" i="1" s="1"/>
  <c r="T468" i="1"/>
  <c r="AB468" i="1" s="1"/>
  <c r="Z342" i="1"/>
  <c r="Z157" i="1"/>
  <c r="AG157" i="1"/>
  <c r="Z305" i="1"/>
  <c r="T260" i="1"/>
  <c r="AB260" i="1" s="1"/>
  <c r="AH260" i="1" s="1"/>
  <c r="V340" i="1"/>
  <c r="AI340" i="1" s="1"/>
  <c r="AG404" i="1"/>
  <c r="AG468" i="1"/>
  <c r="V286" i="1"/>
  <c r="AI286" i="1" s="1"/>
  <c r="T382" i="1"/>
  <c r="AB382" i="1" s="1"/>
  <c r="AG414" i="1"/>
  <c r="AH414" i="1" s="1"/>
  <c r="T454" i="1"/>
  <c r="AB454" i="1" s="1"/>
  <c r="T163" i="1"/>
  <c r="AB163" i="1" s="1"/>
  <c r="AG259" i="1"/>
  <c r="AG299" i="1"/>
  <c r="AH299" i="1" s="1"/>
  <c r="V331" i="1"/>
  <c r="AI331" i="1" s="1"/>
  <c r="V435" i="1"/>
  <c r="AI435" i="1" s="1"/>
  <c r="Z197" i="1"/>
  <c r="AG365" i="1"/>
  <c r="V365" i="1"/>
  <c r="AI365" i="1" s="1"/>
  <c r="U365" i="1"/>
  <c r="X365" i="1" s="1"/>
  <c r="T365" i="1"/>
  <c r="AB365" i="1" s="1"/>
  <c r="AG445" i="1"/>
  <c r="V445" i="1"/>
  <c r="AI445" i="1" s="1"/>
  <c r="U445" i="1"/>
  <c r="X445" i="1" s="1"/>
  <c r="U453" i="1"/>
  <c r="X453" i="1" s="1"/>
  <c r="T453" i="1"/>
  <c r="AB453" i="1" s="1"/>
  <c r="AG11" i="1"/>
  <c r="U11" i="1"/>
  <c r="X11" i="1" s="1"/>
  <c r="T11" i="1"/>
  <c r="AB11" i="1" s="1"/>
  <c r="Z11" i="1"/>
  <c r="V11" i="1"/>
  <c r="AI11" i="1" s="1"/>
  <c r="V419" i="1"/>
  <c r="AI419" i="1" s="1"/>
  <c r="U419" i="1"/>
  <c r="X419" i="1" s="1"/>
  <c r="T419" i="1"/>
  <c r="AB419" i="1" s="1"/>
  <c r="Z339" i="1"/>
  <c r="AG339" i="1"/>
  <c r="V339" i="1"/>
  <c r="AI339" i="1" s="1"/>
  <c r="Z444" i="1"/>
  <c r="U10" i="1"/>
  <c r="X10" i="1" s="1"/>
  <c r="T10" i="1"/>
  <c r="AB10" i="1" s="1"/>
  <c r="Z10" i="1"/>
  <c r="V10" i="1"/>
  <c r="AI10" i="1" s="1"/>
  <c r="AG10" i="1"/>
  <c r="U260" i="1"/>
  <c r="X260" i="1" s="1"/>
  <c r="T316" i="1"/>
  <c r="AB316" i="1" s="1"/>
  <c r="AG340" i="1"/>
  <c r="Z404" i="1"/>
  <c r="AG286" i="1"/>
  <c r="V382" i="1"/>
  <c r="AI382" i="1" s="1"/>
  <c r="Z414" i="1"/>
  <c r="V195" i="1"/>
  <c r="AI195" i="1" s="1"/>
  <c r="Z299" i="1"/>
  <c r="AG331" i="1"/>
  <c r="U435" i="1"/>
  <c r="X435" i="1" s="1"/>
  <c r="Z356" i="1"/>
  <c r="U322" i="1"/>
  <c r="X322" i="1" s="1"/>
  <c r="V322" i="1"/>
  <c r="AI322" i="1" s="1"/>
  <c r="T322" i="1"/>
  <c r="AB322" i="1" s="1"/>
  <c r="U450" i="1"/>
  <c r="X450" i="1" s="1"/>
  <c r="V450" i="1"/>
  <c r="AI450" i="1" s="1"/>
  <c r="T450" i="1"/>
  <c r="AB450" i="1" s="1"/>
  <c r="AG315" i="1"/>
  <c r="V315" i="1"/>
  <c r="AI315" i="1" s="1"/>
  <c r="U315" i="1"/>
  <c r="X315" i="1" s="1"/>
  <c r="AG379" i="1"/>
  <c r="V379" i="1"/>
  <c r="AI379" i="1" s="1"/>
  <c r="U379" i="1"/>
  <c r="X379" i="1" s="1"/>
  <c r="AG443" i="1"/>
  <c r="V443" i="1"/>
  <c r="AI443" i="1" s="1"/>
  <c r="U443" i="1"/>
  <c r="X443" i="1" s="1"/>
  <c r="T259" i="1"/>
  <c r="AB259" i="1" s="1"/>
  <c r="V259" i="1"/>
  <c r="AI259" i="1" s="1"/>
  <c r="AG163" i="1"/>
  <c r="U163" i="1"/>
  <c r="X163" i="1" s="1"/>
  <c r="V163" i="1"/>
  <c r="AI163" i="1" s="1"/>
  <c r="U340" i="1"/>
  <c r="X340" i="1" s="1"/>
  <c r="T286" i="1"/>
  <c r="AB286" i="1" s="1"/>
  <c r="Z6" i="1"/>
  <c r="V6" i="1"/>
  <c r="AI6" i="1" s="1"/>
  <c r="AG6" i="1"/>
  <c r="U6" i="1"/>
  <c r="X6" i="1" s="1"/>
  <c r="T6" i="1"/>
  <c r="AB6" i="1" s="1"/>
  <c r="T7" i="1"/>
  <c r="AB7" i="1" s="1"/>
  <c r="Z7" i="1"/>
  <c r="V7" i="1"/>
  <c r="AI7" i="1" s="1"/>
  <c r="AG7" i="1"/>
  <c r="U7" i="1"/>
  <c r="X7" i="1" s="1"/>
  <c r="Z12" i="1"/>
  <c r="V12" i="1"/>
  <c r="AI12" i="1" s="1"/>
  <c r="AG12" i="1"/>
  <c r="U12" i="1"/>
  <c r="X12" i="1" s="1"/>
  <c r="T12" i="1"/>
  <c r="AB12" i="1" s="1"/>
  <c r="Z369" i="1"/>
  <c r="T307" i="1"/>
  <c r="AB307" i="1" s="1"/>
  <c r="V260" i="1"/>
  <c r="AI260" i="1" s="1"/>
  <c r="U316" i="1"/>
  <c r="X316" i="1" s="1"/>
  <c r="U430" i="1"/>
  <c r="X430" i="1" s="1"/>
  <c r="U389" i="1"/>
  <c r="X389" i="1" s="1"/>
  <c r="T171" i="1"/>
  <c r="AB171" i="1" s="1"/>
  <c r="T267" i="1"/>
  <c r="AB267" i="1" s="1"/>
  <c r="AH267" i="1" s="1"/>
  <c r="AG435" i="1"/>
  <c r="AH435" i="1" s="1"/>
  <c r="U459" i="1"/>
  <c r="X459" i="1" s="1"/>
  <c r="T459" i="1"/>
  <c r="AB459" i="1" s="1"/>
  <c r="U173" i="1"/>
  <c r="X173" i="1" s="1"/>
  <c r="T173" i="1"/>
  <c r="AB173" i="1" s="1"/>
  <c r="V245" i="1"/>
  <c r="AI245" i="1" s="1"/>
  <c r="U245" i="1"/>
  <c r="X245" i="1" s="1"/>
  <c r="T245" i="1"/>
  <c r="AB245" i="1" s="1"/>
  <c r="V309" i="1"/>
  <c r="AI309" i="1" s="1"/>
  <c r="T309" i="1"/>
  <c r="AB309" i="1" s="1"/>
  <c r="Z381" i="1"/>
  <c r="AG381" i="1"/>
  <c r="V381" i="1"/>
  <c r="AI381" i="1" s="1"/>
  <c r="T298" i="1"/>
  <c r="AB298" i="1" s="1"/>
  <c r="V298" i="1"/>
  <c r="AI298" i="1" s="1"/>
  <c r="U331" i="1"/>
  <c r="X331" i="1" s="1"/>
  <c r="T331" i="1"/>
  <c r="AB331" i="1" s="1"/>
  <c r="Z316" i="1"/>
  <c r="AG444" i="1"/>
  <c r="Z195" i="1"/>
  <c r="AG195" i="1"/>
  <c r="AH195" i="1" s="1"/>
  <c r="U195" i="1"/>
  <c r="X195" i="1" s="1"/>
  <c r="Z427" i="1"/>
  <c r="AG427" i="1"/>
  <c r="U299" i="1"/>
  <c r="X299" i="1" s="1"/>
  <c r="T8" i="1"/>
  <c r="AB8" i="1" s="1"/>
  <c r="Z8" i="1"/>
  <c r="V8" i="1"/>
  <c r="AI8" i="1" s="1"/>
  <c r="U8" i="1"/>
  <c r="X8" i="1" s="1"/>
  <c r="AG8" i="1"/>
  <c r="AG294" i="1"/>
  <c r="T430" i="1"/>
  <c r="AB430" i="1" s="1"/>
  <c r="AH430" i="1" s="1"/>
  <c r="T157" i="1"/>
  <c r="AB157" i="1" s="1"/>
  <c r="V389" i="1"/>
  <c r="AI389" i="1" s="1"/>
  <c r="V171" i="1"/>
  <c r="AI171" i="1" s="1"/>
  <c r="U267" i="1"/>
  <c r="X267" i="1" s="1"/>
  <c r="T339" i="1"/>
  <c r="AB339" i="1" s="1"/>
  <c r="AG419" i="1"/>
  <c r="AH419" i="1" s="1"/>
  <c r="Z435" i="1"/>
  <c r="U395" i="1"/>
  <c r="X395" i="1" s="1"/>
  <c r="T395" i="1"/>
  <c r="AB395" i="1" s="1"/>
  <c r="Z467" i="1"/>
  <c r="AG467" i="1"/>
  <c r="AH467" i="1" s="1"/>
  <c r="V467" i="1"/>
  <c r="AI467" i="1" s="1"/>
  <c r="R114" i="1"/>
  <c r="Z114" i="1" s="1"/>
  <c r="AG149" i="1"/>
  <c r="T149" i="1"/>
  <c r="AB149" i="1" s="1"/>
  <c r="V149" i="1"/>
  <c r="AI149" i="1" s="1"/>
  <c r="U149" i="1"/>
  <c r="X149" i="1" s="1"/>
  <c r="Z149" i="1"/>
  <c r="V147" i="1"/>
  <c r="AI147" i="1" s="1"/>
  <c r="Z147" i="1"/>
  <c r="AG147" i="1"/>
  <c r="U147" i="1"/>
  <c r="X147" i="1" s="1"/>
  <c r="T147" i="1"/>
  <c r="AB147" i="1" s="1"/>
  <c r="Z146" i="1"/>
  <c r="U146" i="1"/>
  <c r="X146" i="1" s="1"/>
  <c r="V146" i="1"/>
  <c r="AI146" i="1" s="1"/>
  <c r="T146" i="1"/>
  <c r="AB146" i="1" s="1"/>
  <c r="AG146" i="1"/>
  <c r="U139" i="1"/>
  <c r="X139" i="1" s="1"/>
  <c r="T139" i="1"/>
  <c r="AB139" i="1" s="1"/>
  <c r="AH139" i="1" s="1"/>
  <c r="V139" i="1"/>
  <c r="AI139" i="1" s="1"/>
  <c r="Z139" i="1"/>
  <c r="T135" i="1"/>
  <c r="AB135" i="1" s="1"/>
  <c r="AG135" i="1"/>
  <c r="U135" i="1"/>
  <c r="X135" i="1" s="1"/>
  <c r="V135" i="1"/>
  <c r="AI135" i="1" s="1"/>
  <c r="T134" i="1"/>
  <c r="AB134" i="1" s="1"/>
  <c r="Z134" i="1"/>
  <c r="AG134" i="1"/>
  <c r="V134" i="1"/>
  <c r="AI134" i="1" s="1"/>
  <c r="U134" i="1"/>
  <c r="X134" i="1" s="1"/>
  <c r="T131" i="1"/>
  <c r="AB131" i="1" s="1"/>
  <c r="Z131" i="1"/>
  <c r="V131" i="1"/>
  <c r="AI131" i="1" s="1"/>
  <c r="U131" i="1"/>
  <c r="X131" i="1" s="1"/>
  <c r="AG131" i="1"/>
  <c r="AG128" i="1"/>
  <c r="T128" i="1"/>
  <c r="AB128" i="1" s="1"/>
  <c r="V128" i="1"/>
  <c r="AI128" i="1" s="1"/>
  <c r="Z125" i="1"/>
  <c r="AG125" i="1"/>
  <c r="V125" i="1"/>
  <c r="AI125" i="1" s="1"/>
  <c r="U125" i="1"/>
  <c r="X125" i="1" s="1"/>
  <c r="T125" i="1"/>
  <c r="AB125" i="1" s="1"/>
  <c r="Z124" i="1"/>
  <c r="AG124" i="1"/>
  <c r="V124" i="1"/>
  <c r="AI124" i="1" s="1"/>
  <c r="T124" i="1"/>
  <c r="AB124" i="1" s="1"/>
  <c r="U124" i="1"/>
  <c r="X124" i="1" s="1"/>
  <c r="AG123" i="1"/>
  <c r="Z123" i="1"/>
  <c r="T123" i="1"/>
  <c r="AB123" i="1" s="1"/>
  <c r="V123" i="1"/>
  <c r="AI123" i="1" s="1"/>
  <c r="U123" i="1"/>
  <c r="X123" i="1" s="1"/>
  <c r="V118" i="1"/>
  <c r="AI118" i="1" s="1"/>
  <c r="T118" i="1"/>
  <c r="AB118" i="1" s="1"/>
  <c r="U118" i="1"/>
  <c r="X118" i="1" s="1"/>
  <c r="Z118" i="1"/>
  <c r="AG118" i="1"/>
  <c r="AG117" i="1"/>
  <c r="U117" i="1"/>
  <c r="X117" i="1" s="1"/>
  <c r="Z117" i="1"/>
  <c r="T117" i="1"/>
  <c r="AB117" i="1" s="1"/>
  <c r="V117" i="1"/>
  <c r="AI117" i="1" s="1"/>
  <c r="AG115" i="1"/>
  <c r="Z115" i="1"/>
  <c r="T115" i="1"/>
  <c r="AB115" i="1" s="1"/>
  <c r="V115" i="1"/>
  <c r="AI115" i="1" s="1"/>
  <c r="U115" i="1"/>
  <c r="X115" i="1" s="1"/>
  <c r="T107" i="1"/>
  <c r="AB107" i="1" s="1"/>
  <c r="V107" i="1"/>
  <c r="AI107" i="1" s="1"/>
  <c r="Z107" i="1"/>
  <c r="U107" i="1"/>
  <c r="X107" i="1" s="1"/>
  <c r="AG107" i="1"/>
  <c r="U104" i="1"/>
  <c r="T99" i="1"/>
  <c r="AB99" i="1" s="1"/>
  <c r="V99" i="1"/>
  <c r="AI99" i="1" s="1"/>
  <c r="Z99" i="1"/>
  <c r="AG99" i="1"/>
  <c r="U99" i="1"/>
  <c r="X99" i="1" s="1"/>
  <c r="T93" i="1"/>
  <c r="AB93" i="1" s="1"/>
  <c r="U93" i="1"/>
  <c r="X93" i="1" s="1"/>
  <c r="V93" i="1"/>
  <c r="AI93" i="1" s="1"/>
  <c r="AG93" i="1"/>
  <c r="Z91" i="1"/>
  <c r="AG91" i="1"/>
  <c r="U91" i="1"/>
  <c r="X91" i="1" s="1"/>
  <c r="V91" i="1"/>
  <c r="AI91" i="1" s="1"/>
  <c r="T91" i="1"/>
  <c r="AB91" i="1" s="1"/>
  <c r="U86" i="1"/>
  <c r="X86" i="1" s="1"/>
  <c r="T85" i="1"/>
  <c r="AB85" i="1" s="1"/>
  <c r="V85" i="1"/>
  <c r="AI85" i="1" s="1"/>
  <c r="U85" i="1"/>
  <c r="X85" i="1" s="1"/>
  <c r="Z85" i="1"/>
  <c r="AG85" i="1"/>
  <c r="AG83" i="1"/>
  <c r="T83" i="1"/>
  <c r="AB83" i="1" s="1"/>
  <c r="V83" i="1"/>
  <c r="AI83" i="1" s="1"/>
  <c r="Z83" i="1"/>
  <c r="U83" i="1"/>
  <c r="X83" i="1" s="1"/>
  <c r="U78" i="1"/>
  <c r="X78" i="1" s="1"/>
  <c r="W421" i="1"/>
  <c r="Z372" i="1"/>
  <c r="T166" i="1"/>
  <c r="AB166" i="1" s="1"/>
  <c r="AH166" i="1" s="1"/>
  <c r="V257" i="1"/>
  <c r="AI257" i="1" s="1"/>
  <c r="Z282" i="1"/>
  <c r="V71" i="1"/>
  <c r="AI71" i="1" s="1"/>
  <c r="U71" i="1"/>
  <c r="X71" i="1" s="1"/>
  <c r="U67" i="1"/>
  <c r="X67" i="1" s="1"/>
  <c r="AG67" i="1"/>
  <c r="AH67" i="1" s="1"/>
  <c r="T71" i="1"/>
  <c r="AB71" i="1" s="1"/>
  <c r="AG71" i="1"/>
  <c r="V67" i="1"/>
  <c r="AI67" i="1" s="1"/>
  <c r="Z67" i="1"/>
  <c r="T276" i="1"/>
  <c r="AB276" i="1" s="1"/>
  <c r="AG165" i="1"/>
  <c r="U246" i="1"/>
  <c r="X246" i="1" s="1"/>
  <c r="U310" i="1"/>
  <c r="X310" i="1" s="1"/>
  <c r="Z258" i="1"/>
  <c r="V482" i="1"/>
  <c r="AI482" i="1" s="1"/>
  <c r="U276" i="1"/>
  <c r="X276" i="1" s="1"/>
  <c r="V246" i="1"/>
  <c r="AI246" i="1" s="1"/>
  <c r="V310" i="1"/>
  <c r="AI310" i="1" s="1"/>
  <c r="T374" i="1"/>
  <c r="AB374" i="1" s="1"/>
  <c r="AH374" i="1" s="1"/>
  <c r="Z482" i="1"/>
  <c r="U374" i="1"/>
  <c r="X374" i="1" s="1"/>
  <c r="T438" i="1"/>
  <c r="AB438" i="1" s="1"/>
  <c r="AG431" i="1"/>
  <c r="Z174" i="1"/>
  <c r="Z476" i="1"/>
  <c r="U438" i="1"/>
  <c r="X438" i="1" s="1"/>
  <c r="AG72" i="1"/>
  <c r="T402" i="1"/>
  <c r="AB402" i="1" s="1"/>
  <c r="AG142" i="1"/>
  <c r="V402" i="1"/>
  <c r="AI402" i="1" s="1"/>
  <c r="AG330" i="1"/>
  <c r="AG348" i="1"/>
  <c r="W389" i="1"/>
  <c r="AG402" i="1"/>
  <c r="T170" i="1"/>
  <c r="AB170" i="1" s="1"/>
  <c r="V174" i="1"/>
  <c r="AI174" i="1" s="1"/>
  <c r="Z465" i="1"/>
  <c r="V170" i="1"/>
  <c r="AI170" i="1" s="1"/>
  <c r="U258" i="1"/>
  <c r="X258" i="1" s="1"/>
  <c r="T262" i="1"/>
  <c r="AB262" i="1" s="1"/>
  <c r="AH262" i="1" s="1"/>
  <c r="U326" i="1"/>
  <c r="X326" i="1" s="1"/>
  <c r="AG426" i="1"/>
  <c r="U186" i="1"/>
  <c r="X186" i="1" s="1"/>
  <c r="Z274" i="1"/>
  <c r="Z431" i="1"/>
  <c r="AG472" i="1"/>
  <c r="T409" i="1"/>
  <c r="AB409" i="1" s="1"/>
  <c r="AG174" i="1"/>
  <c r="T86" i="1"/>
  <c r="AB86" i="1" s="1"/>
  <c r="Z142" i="1"/>
  <c r="T220" i="1"/>
  <c r="AB220" i="1" s="1"/>
  <c r="T292" i="1"/>
  <c r="AB292" i="1" s="1"/>
  <c r="Z348" i="1"/>
  <c r="V372" i="1"/>
  <c r="AI372" i="1" s="1"/>
  <c r="U428" i="1"/>
  <c r="X428" i="1" s="1"/>
  <c r="Z165" i="1"/>
  <c r="T246" i="1"/>
  <c r="AB246" i="1" s="1"/>
  <c r="V262" i="1"/>
  <c r="AI262" i="1" s="1"/>
  <c r="T310" i="1"/>
  <c r="AB310" i="1" s="1"/>
  <c r="T326" i="1"/>
  <c r="AB326" i="1" s="1"/>
  <c r="T390" i="1"/>
  <c r="AB390" i="1" s="1"/>
  <c r="T197" i="1"/>
  <c r="AB197" i="1" s="1"/>
  <c r="Z72" i="1"/>
  <c r="T354" i="1"/>
  <c r="AB354" i="1" s="1"/>
  <c r="U402" i="1"/>
  <c r="X402" i="1" s="1"/>
  <c r="Z426" i="1"/>
  <c r="Z186" i="1"/>
  <c r="T290" i="1"/>
  <c r="AB290" i="1" s="1"/>
  <c r="Z330" i="1"/>
  <c r="AG482" i="1"/>
  <c r="V86" i="1"/>
  <c r="AI86" i="1" s="1"/>
  <c r="V292" i="1"/>
  <c r="AI292" i="1" s="1"/>
  <c r="Z262" i="1"/>
  <c r="U454" i="1"/>
  <c r="X454" i="1" s="1"/>
  <c r="T465" i="1"/>
  <c r="AB465" i="1" s="1"/>
  <c r="AH465" i="1" s="1"/>
  <c r="T369" i="1"/>
  <c r="AB369" i="1" s="1"/>
  <c r="AH369" i="1" s="1"/>
  <c r="AG409" i="1"/>
  <c r="W417" i="1"/>
  <c r="V198" i="1"/>
  <c r="AI198" i="1" s="1"/>
  <c r="AG86" i="1"/>
  <c r="U158" i="1"/>
  <c r="X158" i="1" s="1"/>
  <c r="AG220" i="1"/>
  <c r="V276" i="1"/>
  <c r="AI276" i="1" s="1"/>
  <c r="AG292" i="1"/>
  <c r="T364" i="1"/>
  <c r="AB364" i="1" s="1"/>
  <c r="Z428" i="1"/>
  <c r="T476" i="1"/>
  <c r="AB476" i="1" s="1"/>
  <c r="AH476" i="1" s="1"/>
  <c r="AG246" i="1"/>
  <c r="AG310" i="1"/>
  <c r="Z326" i="1"/>
  <c r="V374" i="1"/>
  <c r="AI374" i="1" s="1"/>
  <c r="AG390" i="1"/>
  <c r="V438" i="1"/>
  <c r="AI438" i="1" s="1"/>
  <c r="V454" i="1"/>
  <c r="AI454" i="1" s="1"/>
  <c r="W478" i="1"/>
  <c r="T282" i="1"/>
  <c r="AB282" i="1" s="1"/>
  <c r="AH282" i="1" s="1"/>
  <c r="AG197" i="1"/>
  <c r="V104" i="1"/>
  <c r="AI104" i="1" s="1"/>
  <c r="AG354" i="1"/>
  <c r="U170" i="1"/>
  <c r="X170" i="1" s="1"/>
  <c r="U202" i="1"/>
  <c r="X202" i="1" s="1"/>
  <c r="T274" i="1"/>
  <c r="AB274" i="1" s="1"/>
  <c r="AH274" i="1" s="1"/>
  <c r="T412" i="1"/>
  <c r="AB412" i="1" s="1"/>
  <c r="V220" i="1"/>
  <c r="AI220" i="1" s="1"/>
  <c r="V390" i="1"/>
  <c r="AI390" i="1" s="1"/>
  <c r="V197" i="1"/>
  <c r="AI197" i="1" s="1"/>
  <c r="U431" i="1"/>
  <c r="X431" i="1" s="1"/>
  <c r="U465" i="1"/>
  <c r="X465" i="1" s="1"/>
  <c r="U369" i="1"/>
  <c r="X369" i="1" s="1"/>
  <c r="Z409" i="1"/>
  <c r="AG198" i="1"/>
  <c r="V158" i="1"/>
  <c r="AI158" i="1" s="1"/>
  <c r="T142" i="1"/>
  <c r="AB142" i="1" s="1"/>
  <c r="AG276" i="1"/>
  <c r="T348" i="1"/>
  <c r="AB348" i="1" s="1"/>
  <c r="U364" i="1"/>
  <c r="X364" i="1" s="1"/>
  <c r="T436" i="1"/>
  <c r="AB436" i="1" s="1"/>
  <c r="U476" i="1"/>
  <c r="X476" i="1" s="1"/>
  <c r="T165" i="1"/>
  <c r="AB165" i="1" s="1"/>
  <c r="Z374" i="1"/>
  <c r="AG454" i="1"/>
  <c r="V282" i="1"/>
  <c r="AI282" i="1" s="1"/>
  <c r="T72" i="1"/>
  <c r="AB72" i="1" s="1"/>
  <c r="AG104" i="1"/>
  <c r="AH104" i="1" s="1"/>
  <c r="Z354" i="1"/>
  <c r="V426" i="1"/>
  <c r="AI426" i="1" s="1"/>
  <c r="AG170" i="1"/>
  <c r="AG202" i="1"/>
  <c r="AH202" i="1" s="1"/>
  <c r="U274" i="1"/>
  <c r="X274" i="1" s="1"/>
  <c r="T330" i="1"/>
  <c r="AB330" i="1" s="1"/>
  <c r="V434" i="1"/>
  <c r="AI434" i="1" s="1"/>
  <c r="U412" i="1"/>
  <c r="X412" i="1" s="1"/>
  <c r="U198" i="1"/>
  <c r="X198" i="1" s="1"/>
  <c r="T431" i="1"/>
  <c r="AB431" i="1" s="1"/>
  <c r="V465" i="1"/>
  <c r="AI465" i="1" s="1"/>
  <c r="T174" i="1"/>
  <c r="AB174" i="1" s="1"/>
  <c r="AG158" i="1"/>
  <c r="U142" i="1"/>
  <c r="X142" i="1" s="1"/>
  <c r="Z228" i="1"/>
  <c r="V300" i="1"/>
  <c r="AI300" i="1" s="1"/>
  <c r="U348" i="1"/>
  <c r="X348" i="1" s="1"/>
  <c r="V364" i="1"/>
  <c r="AI364" i="1" s="1"/>
  <c r="AG436" i="1"/>
  <c r="V476" i="1"/>
  <c r="AI476" i="1" s="1"/>
  <c r="U165" i="1"/>
  <c r="X165" i="1" s="1"/>
  <c r="AG438" i="1"/>
  <c r="U282" i="1"/>
  <c r="X282" i="1" s="1"/>
  <c r="U72" i="1"/>
  <c r="X72" i="1" s="1"/>
  <c r="T426" i="1"/>
  <c r="AB426" i="1" s="1"/>
  <c r="Z202" i="1"/>
  <c r="T258" i="1"/>
  <c r="AB258" i="1" s="1"/>
  <c r="V274" i="1"/>
  <c r="AI274" i="1" s="1"/>
  <c r="U330" i="1"/>
  <c r="X330" i="1" s="1"/>
  <c r="T482" i="1"/>
  <c r="AB482" i="1" s="1"/>
  <c r="V412" i="1"/>
  <c r="AI412" i="1" s="1"/>
  <c r="T158" i="1"/>
  <c r="AB158" i="1" s="1"/>
  <c r="U472" i="1"/>
  <c r="X472" i="1" s="1"/>
  <c r="V369" i="1"/>
  <c r="AI369" i="1" s="1"/>
  <c r="W366" i="1"/>
  <c r="T186" i="1"/>
  <c r="AB186" i="1" s="1"/>
  <c r="AH186" i="1" s="1"/>
  <c r="V329" i="1"/>
  <c r="AI329" i="1" s="1"/>
  <c r="V166" i="1"/>
  <c r="AI166" i="1" s="1"/>
  <c r="U206" i="1"/>
  <c r="X206" i="1" s="1"/>
  <c r="T103" i="1"/>
  <c r="AB103" i="1" s="1"/>
  <c r="W387" i="1"/>
  <c r="AG357" i="1"/>
  <c r="U242" i="1"/>
  <c r="X242" i="1" s="1"/>
  <c r="AG383" i="1"/>
  <c r="U94" i="1"/>
  <c r="X94" i="1" s="1"/>
  <c r="V314" i="1"/>
  <c r="AI314" i="1" s="1"/>
  <c r="U417" i="1"/>
  <c r="X417" i="1" s="1"/>
  <c r="T126" i="1"/>
  <c r="AB126" i="1" s="1"/>
  <c r="U126" i="1"/>
  <c r="X126" i="1" s="1"/>
  <c r="U324" i="1"/>
  <c r="X324" i="1" s="1"/>
  <c r="U154" i="1"/>
  <c r="X154" i="1" s="1"/>
  <c r="T383" i="1"/>
  <c r="AB383" i="1" s="1"/>
  <c r="AG329" i="1"/>
  <c r="AH329" i="1" s="1"/>
  <c r="V126" i="1"/>
  <c r="AI126" i="1" s="1"/>
  <c r="V252" i="1"/>
  <c r="AI252" i="1" s="1"/>
  <c r="V324" i="1"/>
  <c r="AI324" i="1" s="1"/>
  <c r="T396" i="1"/>
  <c r="AB396" i="1" s="1"/>
  <c r="Z357" i="1"/>
  <c r="V230" i="1"/>
  <c r="AI230" i="1" s="1"/>
  <c r="Z294" i="1"/>
  <c r="AG358" i="1"/>
  <c r="AG422" i="1"/>
  <c r="U103" i="1"/>
  <c r="X103" i="1" s="1"/>
  <c r="W466" i="1"/>
  <c r="Z154" i="1"/>
  <c r="AG242" i="1"/>
  <c r="AG314" i="1"/>
  <c r="T386" i="1"/>
  <c r="AB386" i="1" s="1"/>
  <c r="U383" i="1"/>
  <c r="X383" i="1" s="1"/>
  <c r="Z329" i="1"/>
  <c r="AG126" i="1"/>
  <c r="AG252" i="1"/>
  <c r="U396" i="1"/>
  <c r="X396" i="1" s="1"/>
  <c r="AG230" i="1"/>
  <c r="AH230" i="1" s="1"/>
  <c r="Z358" i="1"/>
  <c r="W414" i="1"/>
  <c r="Z422" i="1"/>
  <c r="V103" i="1"/>
  <c r="AI103" i="1" s="1"/>
  <c r="Z242" i="1"/>
  <c r="Z314" i="1"/>
  <c r="V386" i="1"/>
  <c r="AI386" i="1" s="1"/>
  <c r="W419" i="1"/>
  <c r="U449" i="1"/>
  <c r="X449" i="1" s="1"/>
  <c r="T196" i="1"/>
  <c r="AB196" i="1" s="1"/>
  <c r="Z252" i="1"/>
  <c r="AG324" i="1"/>
  <c r="AH324" i="1" s="1"/>
  <c r="V396" i="1"/>
  <c r="AI396" i="1" s="1"/>
  <c r="Z230" i="1"/>
  <c r="AG103" i="1"/>
  <c r="T458" i="1"/>
  <c r="AB458" i="1" s="1"/>
  <c r="W306" i="1"/>
  <c r="U386" i="1"/>
  <c r="X386" i="1" s="1"/>
  <c r="V449" i="1"/>
  <c r="AI449" i="1" s="1"/>
  <c r="U196" i="1"/>
  <c r="X196" i="1" s="1"/>
  <c r="Z324" i="1"/>
  <c r="AG396" i="1"/>
  <c r="T460" i="1"/>
  <c r="AB460" i="1" s="1"/>
  <c r="AH460" i="1" s="1"/>
  <c r="U458" i="1"/>
  <c r="X458" i="1" s="1"/>
  <c r="AG386" i="1"/>
  <c r="W449" i="1"/>
  <c r="V196" i="1"/>
  <c r="AI196" i="1" s="1"/>
  <c r="U460" i="1"/>
  <c r="X460" i="1" s="1"/>
  <c r="T357" i="1"/>
  <c r="AB357" i="1" s="1"/>
  <c r="T294" i="1"/>
  <c r="AB294" i="1" s="1"/>
  <c r="T358" i="1"/>
  <c r="T422" i="1"/>
  <c r="V458" i="1"/>
  <c r="AI458" i="1" s="1"/>
  <c r="AG449" i="1"/>
  <c r="AH449" i="1" s="1"/>
  <c r="U329" i="1"/>
  <c r="X329" i="1" s="1"/>
  <c r="AG196" i="1"/>
  <c r="T252" i="1"/>
  <c r="AB252" i="1" s="1"/>
  <c r="V460" i="1"/>
  <c r="AI460" i="1" s="1"/>
  <c r="U357" i="1"/>
  <c r="X357" i="1" s="1"/>
  <c r="U294" i="1"/>
  <c r="X294" i="1" s="1"/>
  <c r="U358" i="1"/>
  <c r="X358" i="1" s="1"/>
  <c r="U422" i="1"/>
  <c r="X422" i="1" s="1"/>
  <c r="AG458" i="1"/>
  <c r="T154" i="1"/>
  <c r="AB154" i="1" s="1"/>
  <c r="AH154" i="1" s="1"/>
  <c r="T242" i="1"/>
  <c r="AB242" i="1" s="1"/>
  <c r="T314" i="1"/>
  <c r="AB314" i="1" s="1"/>
  <c r="Z449" i="1"/>
  <c r="W474" i="1"/>
  <c r="W378" i="1"/>
  <c r="V154" i="1"/>
  <c r="AI154" i="1" s="1"/>
  <c r="U273" i="1"/>
  <c r="X273" i="1" s="1"/>
  <c r="Z308" i="1"/>
  <c r="W230" i="1"/>
  <c r="V254" i="1"/>
  <c r="AI254" i="1" s="1"/>
  <c r="AG273" i="1"/>
  <c r="AH273" i="1" s="1"/>
  <c r="U182" i="1"/>
  <c r="X182" i="1" s="1"/>
  <c r="T229" i="1"/>
  <c r="AB229" i="1" s="1"/>
  <c r="AH229" i="1" s="1"/>
  <c r="V96" i="1"/>
  <c r="AI96" i="1" s="1"/>
  <c r="AG298" i="1"/>
  <c r="T182" i="1"/>
  <c r="AB182" i="1" s="1"/>
  <c r="U229" i="1"/>
  <c r="X229" i="1" s="1"/>
  <c r="Z229" i="1"/>
  <c r="T78" i="1"/>
  <c r="AB78" i="1" s="1"/>
  <c r="T236" i="1"/>
  <c r="AB236" i="1" s="1"/>
  <c r="AH236" i="1" s="1"/>
  <c r="T214" i="1"/>
  <c r="AB214" i="1" s="1"/>
  <c r="V214" i="1"/>
  <c r="AI214" i="1" s="1"/>
  <c r="U278" i="1"/>
  <c r="X278" i="1" s="1"/>
  <c r="T226" i="1"/>
  <c r="AB226" i="1" s="1"/>
  <c r="AH226" i="1" s="1"/>
  <c r="AB266" i="1"/>
  <c r="W266" i="1"/>
  <c r="Z270" i="1"/>
  <c r="Z334" i="1"/>
  <c r="Z398" i="1"/>
  <c r="AG462" i="1"/>
  <c r="AG136" i="1"/>
  <c r="U210" i="1"/>
  <c r="X210" i="1" s="1"/>
  <c r="U362" i="1"/>
  <c r="X362" i="1" s="1"/>
  <c r="X433" i="1"/>
  <c r="T473" i="1"/>
  <c r="AB473" i="1" s="1"/>
  <c r="U257" i="1"/>
  <c r="X257" i="1" s="1"/>
  <c r="V273" i="1"/>
  <c r="AI273" i="1" s="1"/>
  <c r="V417" i="1"/>
  <c r="AI417" i="1" s="1"/>
  <c r="U166" i="1"/>
  <c r="X166" i="1" s="1"/>
  <c r="T94" i="1"/>
  <c r="AB94" i="1" s="1"/>
  <c r="T212" i="1"/>
  <c r="AB212" i="1" s="1"/>
  <c r="AG228" i="1"/>
  <c r="Z236" i="1"/>
  <c r="AG300" i="1"/>
  <c r="Z420" i="1"/>
  <c r="V436" i="1"/>
  <c r="AI436" i="1" s="1"/>
  <c r="U214" i="1"/>
  <c r="X214" i="1" s="1"/>
  <c r="U254" i="1"/>
  <c r="X254" i="1" s="1"/>
  <c r="T278" i="1"/>
  <c r="AB278" i="1" s="1"/>
  <c r="U318" i="1"/>
  <c r="X318" i="1" s="1"/>
  <c r="T342" i="1"/>
  <c r="AB342" i="1" s="1"/>
  <c r="U382" i="1"/>
  <c r="X382" i="1" s="1"/>
  <c r="T406" i="1"/>
  <c r="AB406" i="1" s="1"/>
  <c r="U446" i="1"/>
  <c r="X446" i="1" s="1"/>
  <c r="T470" i="1"/>
  <c r="AB470" i="1" s="1"/>
  <c r="AG96" i="1"/>
  <c r="Z136" i="1"/>
  <c r="U418" i="1"/>
  <c r="X418" i="1" s="1"/>
  <c r="Z442" i="1"/>
  <c r="V266" i="1"/>
  <c r="AI266" i="1" s="1"/>
  <c r="X370" i="1"/>
  <c r="W202" i="1"/>
  <c r="AG210" i="1"/>
  <c r="U298" i="1"/>
  <c r="X298" i="1" s="1"/>
  <c r="U338" i="1"/>
  <c r="X338" i="1" s="1"/>
  <c r="AG362" i="1"/>
  <c r="AH362" i="1" s="1"/>
  <c r="T434" i="1"/>
  <c r="AB434" i="1" s="1"/>
  <c r="X104" i="1"/>
  <c r="W305" i="1"/>
  <c r="T206" i="1"/>
  <c r="AB206" i="1" s="1"/>
  <c r="T270" i="1"/>
  <c r="AB270" i="1" s="1"/>
  <c r="AH270" i="1" s="1"/>
  <c r="T334" i="1"/>
  <c r="AB334" i="1" s="1"/>
  <c r="AH334" i="1" s="1"/>
  <c r="U290" i="1"/>
  <c r="X290" i="1" s="1"/>
  <c r="U434" i="1"/>
  <c r="X434" i="1" s="1"/>
  <c r="Z273" i="1"/>
  <c r="U401" i="1"/>
  <c r="X401" i="1" s="1"/>
  <c r="AG417" i="1"/>
  <c r="AH417" i="1" s="1"/>
  <c r="AB150" i="1"/>
  <c r="AH150" i="1" s="1"/>
  <c r="V78" i="1"/>
  <c r="AI78" i="1" s="1"/>
  <c r="Z166" i="1"/>
  <c r="AG94" i="1"/>
  <c r="V182" i="1"/>
  <c r="AI182" i="1" s="1"/>
  <c r="AG212" i="1"/>
  <c r="V284" i="1"/>
  <c r="AI284" i="1" s="1"/>
  <c r="U308" i="1"/>
  <c r="X308" i="1" s="1"/>
  <c r="V356" i="1"/>
  <c r="AI356" i="1" s="1"/>
  <c r="U380" i="1"/>
  <c r="X380" i="1" s="1"/>
  <c r="U420" i="1"/>
  <c r="X420" i="1" s="1"/>
  <c r="Z436" i="1"/>
  <c r="W205" i="1"/>
  <c r="W332" i="1"/>
  <c r="V229" i="1"/>
  <c r="AI229" i="1" s="1"/>
  <c r="V206" i="1"/>
  <c r="AI206" i="1" s="1"/>
  <c r="AG254" i="1"/>
  <c r="U270" i="1"/>
  <c r="X270" i="1" s="1"/>
  <c r="AG318" i="1"/>
  <c r="U334" i="1"/>
  <c r="X334" i="1" s="1"/>
  <c r="AG382" i="1"/>
  <c r="U398" i="1"/>
  <c r="X398" i="1" s="1"/>
  <c r="X406" i="1"/>
  <c r="AG446" i="1"/>
  <c r="U462" i="1"/>
  <c r="X462" i="1" s="1"/>
  <c r="X470" i="1"/>
  <c r="W469" i="1"/>
  <c r="Z128" i="1"/>
  <c r="AG266" i="1"/>
  <c r="W437" i="1"/>
  <c r="V194" i="1"/>
  <c r="AI194" i="1" s="1"/>
  <c r="U226" i="1"/>
  <c r="X226" i="1" s="1"/>
  <c r="V290" i="1"/>
  <c r="AI290" i="1" s="1"/>
  <c r="Z298" i="1"/>
  <c r="T257" i="1"/>
  <c r="AB257" i="1" s="1"/>
  <c r="AH257" i="1" s="1"/>
  <c r="W369" i="1"/>
  <c r="AG473" i="1"/>
  <c r="Z257" i="1"/>
  <c r="AG401" i="1"/>
  <c r="AH401" i="1" s="1"/>
  <c r="Z417" i="1"/>
  <c r="X150" i="1"/>
  <c r="AG78" i="1"/>
  <c r="Z94" i="1"/>
  <c r="AG182" i="1"/>
  <c r="T228" i="1"/>
  <c r="AB228" i="1" s="1"/>
  <c r="U236" i="1"/>
  <c r="X236" i="1" s="1"/>
  <c r="AG284" i="1"/>
  <c r="T300" i="1"/>
  <c r="AB300" i="1" s="1"/>
  <c r="V308" i="1"/>
  <c r="AI308" i="1" s="1"/>
  <c r="AG356" i="1"/>
  <c r="U372" i="1"/>
  <c r="X372" i="1" s="1"/>
  <c r="V380" i="1"/>
  <c r="AI380" i="1" s="1"/>
  <c r="T420" i="1"/>
  <c r="AB420" i="1" s="1"/>
  <c r="AH420" i="1" s="1"/>
  <c r="T444" i="1"/>
  <c r="AG214" i="1"/>
  <c r="V270" i="1"/>
  <c r="AI270" i="1" s="1"/>
  <c r="V334" i="1"/>
  <c r="AI334" i="1" s="1"/>
  <c r="X342" i="1"/>
  <c r="V398" i="1"/>
  <c r="AI398" i="1" s="1"/>
  <c r="V462" i="1"/>
  <c r="AI462" i="1" s="1"/>
  <c r="U136" i="1"/>
  <c r="X136" i="1" s="1"/>
  <c r="T442" i="1"/>
  <c r="AB442" i="1" s="1"/>
  <c r="AH442" i="1" s="1"/>
  <c r="Z266" i="1"/>
  <c r="U178" i="1"/>
  <c r="X178" i="1" s="1"/>
  <c r="T210" i="1"/>
  <c r="AB210" i="1" s="1"/>
  <c r="V226" i="1"/>
  <c r="AI226" i="1" s="1"/>
  <c r="AG290" i="1"/>
  <c r="AG434" i="1"/>
  <c r="W317" i="1"/>
  <c r="W441" i="1"/>
  <c r="W301" i="1"/>
  <c r="T194" i="1"/>
  <c r="AB194" i="1" s="1"/>
  <c r="W242" i="1"/>
  <c r="Z362" i="1"/>
  <c r="W315" i="1"/>
  <c r="T433" i="1"/>
  <c r="AB433" i="1" s="1"/>
  <c r="AH433" i="1" s="1"/>
  <c r="V150" i="1"/>
  <c r="AI150" i="1" s="1"/>
  <c r="U228" i="1"/>
  <c r="X228" i="1" s="1"/>
  <c r="V236" i="1"/>
  <c r="AI236" i="1" s="1"/>
  <c r="U300" i="1"/>
  <c r="X300" i="1" s="1"/>
  <c r="T372" i="1"/>
  <c r="AB372" i="1" s="1"/>
  <c r="AH372" i="1" s="1"/>
  <c r="W380" i="1"/>
  <c r="V420" i="1"/>
  <c r="AI420" i="1" s="1"/>
  <c r="U444" i="1"/>
  <c r="X444" i="1" s="1"/>
  <c r="AG206" i="1"/>
  <c r="AG278" i="1"/>
  <c r="AG342" i="1"/>
  <c r="AG406" i="1"/>
  <c r="AG470" i="1"/>
  <c r="U96" i="1"/>
  <c r="X96" i="1" s="1"/>
  <c r="U128" i="1"/>
  <c r="X128" i="1" s="1"/>
  <c r="T136" i="1"/>
  <c r="AB136" i="1" s="1"/>
  <c r="U442" i="1"/>
  <c r="X442" i="1" s="1"/>
  <c r="T370" i="1"/>
  <c r="AB370" i="1" s="1"/>
  <c r="W221" i="1"/>
  <c r="Z82" i="1"/>
  <c r="AG178" i="1"/>
  <c r="AG194" i="1"/>
  <c r="V210" i="1"/>
  <c r="AI210" i="1" s="1"/>
  <c r="V362" i="1"/>
  <c r="AI362" i="1" s="1"/>
  <c r="X436" i="1"/>
  <c r="T398" i="1"/>
  <c r="AB398" i="1" s="1"/>
  <c r="AH398" i="1" s="1"/>
  <c r="T462" i="1"/>
  <c r="AB462" i="1" s="1"/>
  <c r="W251" i="1"/>
  <c r="T96" i="1"/>
  <c r="AB96" i="1" s="1"/>
  <c r="Z178" i="1"/>
  <c r="W429" i="1"/>
  <c r="T110" i="1"/>
  <c r="AB110" i="1" s="1"/>
  <c r="W134" i="1"/>
  <c r="T92" i="1"/>
  <c r="AB92" i="1" s="1"/>
  <c r="Z104" i="1"/>
  <c r="V186" i="1"/>
  <c r="AI186" i="1" s="1"/>
  <c r="U194" i="1"/>
  <c r="X194" i="1" s="1"/>
  <c r="U110" i="1"/>
  <c r="X110" i="1" s="1"/>
  <c r="U190" i="1"/>
  <c r="X190" i="1" s="1"/>
  <c r="U92" i="1"/>
  <c r="X92" i="1" s="1"/>
  <c r="V110" i="1"/>
  <c r="AI110" i="1" s="1"/>
  <c r="W131" i="1"/>
  <c r="V190" i="1"/>
  <c r="AI190" i="1" s="1"/>
  <c r="V92" i="1"/>
  <c r="AI92" i="1" s="1"/>
  <c r="T82" i="1"/>
  <c r="AB82" i="1" s="1"/>
  <c r="AH82" i="1" s="1"/>
  <c r="T178" i="1"/>
  <c r="AB178" i="1" s="1"/>
  <c r="W195" i="1"/>
  <c r="AG110" i="1"/>
  <c r="U82" i="1"/>
  <c r="X82" i="1" s="1"/>
  <c r="W75" i="1"/>
  <c r="AG92" i="1"/>
  <c r="V82" i="1"/>
  <c r="AI82" i="1" s="1"/>
  <c r="AG190" i="1"/>
  <c r="T190" i="1"/>
  <c r="AB190" i="1" s="1"/>
  <c r="Z44" i="1"/>
  <c r="AG44" i="1"/>
  <c r="V44" i="1"/>
  <c r="AI44" i="1" s="1"/>
  <c r="U44" i="1"/>
  <c r="X44" i="1" s="1"/>
  <c r="T44" i="1"/>
  <c r="AB44" i="1" s="1"/>
  <c r="Z66" i="1"/>
  <c r="AG66" i="1"/>
  <c r="V66" i="1"/>
  <c r="AI66" i="1" s="1"/>
  <c r="U66" i="1"/>
  <c r="X66" i="1" s="1"/>
  <c r="T66" i="1"/>
  <c r="AB66" i="1" s="1"/>
  <c r="Z43" i="1"/>
  <c r="AG43" i="1"/>
  <c r="U43" i="1"/>
  <c r="X43" i="1" s="1"/>
  <c r="V43" i="1"/>
  <c r="AI43" i="1" s="1"/>
  <c r="T43" i="1"/>
  <c r="AB43" i="1" s="1"/>
  <c r="Z64" i="1"/>
  <c r="AG64" i="1"/>
  <c r="V64" i="1"/>
  <c r="AI64" i="1" s="1"/>
  <c r="T64" i="1"/>
  <c r="AB64" i="1" s="1"/>
  <c r="U64" i="1"/>
  <c r="X64" i="1" s="1"/>
  <c r="Z54" i="1"/>
  <c r="AG54" i="1"/>
  <c r="V54" i="1"/>
  <c r="AI54" i="1" s="1"/>
  <c r="T54" i="1"/>
  <c r="AB54" i="1" s="1"/>
  <c r="U54" i="1"/>
  <c r="X54" i="1" s="1"/>
  <c r="Z61" i="1"/>
  <c r="AG61" i="1"/>
  <c r="V61" i="1"/>
  <c r="AI61" i="1" s="1"/>
  <c r="U61" i="1"/>
  <c r="X61" i="1" s="1"/>
  <c r="T61" i="1"/>
  <c r="AB61" i="1" s="1"/>
  <c r="Z28" i="1"/>
  <c r="AG28" i="1"/>
  <c r="V28" i="1"/>
  <c r="AI28" i="1" s="1"/>
  <c r="U28" i="1"/>
  <c r="X28" i="1" s="1"/>
  <c r="T28" i="1"/>
  <c r="AB28" i="1" s="1"/>
  <c r="Z52" i="1"/>
  <c r="AG52" i="1"/>
  <c r="V52" i="1"/>
  <c r="AI52" i="1" s="1"/>
  <c r="U52" i="1"/>
  <c r="X52" i="1" s="1"/>
  <c r="T52" i="1"/>
  <c r="AB52" i="1" s="1"/>
  <c r="Z46" i="1"/>
  <c r="AG46" i="1"/>
  <c r="V46" i="1"/>
  <c r="AI46" i="1" s="1"/>
  <c r="U46" i="1"/>
  <c r="X46" i="1" s="1"/>
  <c r="T46" i="1"/>
  <c r="AB46" i="1" s="1"/>
  <c r="Z45" i="1"/>
  <c r="AG45" i="1"/>
  <c r="V45" i="1"/>
  <c r="AI45" i="1" s="1"/>
  <c r="U45" i="1"/>
  <c r="X45" i="1" s="1"/>
  <c r="T45" i="1"/>
  <c r="AB45" i="1" s="1"/>
  <c r="Z62" i="1"/>
  <c r="AG62" i="1"/>
  <c r="V62" i="1"/>
  <c r="AI62" i="1" s="1"/>
  <c r="U62" i="1"/>
  <c r="X62" i="1" s="1"/>
  <c r="T62" i="1"/>
  <c r="AB62" i="1" s="1"/>
  <c r="Z33" i="1"/>
  <c r="AG33" i="1"/>
  <c r="U33" i="1"/>
  <c r="X33" i="1" s="1"/>
  <c r="V33" i="1"/>
  <c r="AI33" i="1" s="1"/>
  <c r="T33" i="1"/>
  <c r="AB33" i="1" s="1"/>
  <c r="Z65" i="1"/>
  <c r="AG65" i="1"/>
  <c r="U65" i="1"/>
  <c r="X65" i="1" s="1"/>
  <c r="V65" i="1"/>
  <c r="AI65" i="1" s="1"/>
  <c r="T65" i="1"/>
  <c r="AB65" i="1" s="1"/>
  <c r="Z27" i="1"/>
  <c r="AG27" i="1"/>
  <c r="U27" i="1"/>
  <c r="X27" i="1" s="1"/>
  <c r="V27" i="1"/>
  <c r="AI27" i="1" s="1"/>
  <c r="T27" i="1"/>
  <c r="AB27" i="1" s="1"/>
  <c r="Z48" i="1"/>
  <c r="AG48" i="1"/>
  <c r="V48" i="1"/>
  <c r="AI48" i="1" s="1"/>
  <c r="T48" i="1"/>
  <c r="AB48" i="1" s="1"/>
  <c r="U48" i="1"/>
  <c r="X48" i="1" s="1"/>
  <c r="Z51" i="1"/>
  <c r="AG51" i="1"/>
  <c r="U51" i="1"/>
  <c r="X51" i="1" s="1"/>
  <c r="V51" i="1"/>
  <c r="AI51" i="1" s="1"/>
  <c r="T51" i="1"/>
  <c r="AB51" i="1" s="1"/>
  <c r="AG40" i="1"/>
  <c r="Z40" i="1"/>
  <c r="V40" i="1"/>
  <c r="AI40" i="1" s="1"/>
  <c r="T40" i="1"/>
  <c r="AB40" i="1" s="1"/>
  <c r="U40" i="1"/>
  <c r="X40" i="1" s="1"/>
  <c r="Z36" i="1"/>
  <c r="AG36" i="1"/>
  <c r="V36" i="1"/>
  <c r="AI36" i="1" s="1"/>
  <c r="U36" i="1"/>
  <c r="X36" i="1" s="1"/>
  <c r="T36" i="1"/>
  <c r="AB36" i="1" s="1"/>
  <c r="Z34" i="1"/>
  <c r="AG34" i="1"/>
  <c r="V34" i="1"/>
  <c r="AI34" i="1" s="1"/>
  <c r="U34" i="1"/>
  <c r="X34" i="1" s="1"/>
  <c r="T34" i="1"/>
  <c r="AB34" i="1" s="1"/>
  <c r="Z41" i="1"/>
  <c r="AG41" i="1"/>
  <c r="U41" i="1"/>
  <c r="X41" i="1" s="1"/>
  <c r="T41" i="1"/>
  <c r="AB41" i="1" s="1"/>
  <c r="V41" i="1"/>
  <c r="AI41" i="1" s="1"/>
  <c r="Z32" i="1"/>
  <c r="V32" i="1"/>
  <c r="AI32" i="1" s="1"/>
  <c r="AG32" i="1"/>
  <c r="T32" i="1"/>
  <c r="AB32" i="1" s="1"/>
  <c r="U32" i="1"/>
  <c r="X32" i="1" s="1"/>
  <c r="Z42" i="1"/>
  <c r="AG42" i="1"/>
  <c r="V42" i="1"/>
  <c r="AI42" i="1" s="1"/>
  <c r="U42" i="1"/>
  <c r="X42" i="1" s="1"/>
  <c r="T42" i="1"/>
  <c r="AB42" i="1" s="1"/>
  <c r="Z31" i="1"/>
  <c r="AG31" i="1"/>
  <c r="X31" i="1"/>
  <c r="AI31" i="1"/>
  <c r="AB31" i="1"/>
  <c r="Z35" i="1"/>
  <c r="AG35" i="1"/>
  <c r="U35" i="1"/>
  <c r="X35" i="1" s="1"/>
  <c r="V35" i="1"/>
  <c r="AI35" i="1" s="1"/>
  <c r="T35" i="1"/>
  <c r="AB35" i="1" s="1"/>
  <c r="Z56" i="1"/>
  <c r="AG56" i="1"/>
  <c r="V56" i="1"/>
  <c r="AI56" i="1" s="1"/>
  <c r="U56" i="1"/>
  <c r="X56" i="1" s="1"/>
  <c r="T56" i="1"/>
  <c r="AB56" i="1" s="1"/>
  <c r="Z30" i="1"/>
  <c r="AG30" i="1"/>
  <c r="V30" i="1"/>
  <c r="AI30" i="1" s="1"/>
  <c r="U30" i="1"/>
  <c r="X30" i="1" s="1"/>
  <c r="T30" i="1"/>
  <c r="AB30" i="1" s="1"/>
  <c r="Z50" i="1"/>
  <c r="AG50" i="1"/>
  <c r="V50" i="1"/>
  <c r="AI50" i="1" s="1"/>
  <c r="U50" i="1"/>
  <c r="X50" i="1" s="1"/>
  <c r="T50" i="1"/>
  <c r="AB50" i="1" s="1"/>
  <c r="Z37" i="1"/>
  <c r="AG37" i="1"/>
  <c r="V37" i="1"/>
  <c r="AI37" i="1" s="1"/>
  <c r="U37" i="1"/>
  <c r="X37" i="1" s="1"/>
  <c r="T37" i="1"/>
  <c r="AB37" i="1" s="1"/>
  <c r="Z59" i="1"/>
  <c r="AG59" i="1"/>
  <c r="U59" i="1"/>
  <c r="X59" i="1" s="1"/>
  <c r="V59" i="1"/>
  <c r="AI59" i="1" s="1"/>
  <c r="T59" i="1"/>
  <c r="AB59" i="1" s="1"/>
  <c r="Z38" i="1"/>
  <c r="V38" i="1"/>
  <c r="AI38" i="1" s="1"/>
  <c r="U38" i="1"/>
  <c r="X38" i="1" s="1"/>
  <c r="T38" i="1"/>
  <c r="AB38" i="1" s="1"/>
  <c r="Z39" i="1"/>
  <c r="AG39" i="1"/>
  <c r="V39" i="1"/>
  <c r="AI39" i="1" s="1"/>
  <c r="U39" i="1"/>
  <c r="X39" i="1" s="1"/>
  <c r="T39" i="1"/>
  <c r="AB39" i="1" s="1"/>
  <c r="Z58" i="1"/>
  <c r="AG58" i="1"/>
  <c r="V58" i="1"/>
  <c r="AI58" i="1" s="1"/>
  <c r="U58" i="1"/>
  <c r="X58" i="1" s="1"/>
  <c r="T58" i="1"/>
  <c r="AB58" i="1" s="1"/>
  <c r="Z119" i="1"/>
  <c r="AG119" i="1"/>
  <c r="U119" i="1"/>
  <c r="X119" i="1" s="1"/>
  <c r="V119" i="1"/>
  <c r="AI119" i="1" s="1"/>
  <c r="T119" i="1"/>
  <c r="AB119" i="1" s="1"/>
  <c r="Z112" i="1"/>
  <c r="AG112" i="1"/>
  <c r="V112" i="1"/>
  <c r="AI112" i="1" s="1"/>
  <c r="T112" i="1"/>
  <c r="AB112" i="1" s="1"/>
  <c r="U112" i="1"/>
  <c r="X112" i="1" s="1"/>
  <c r="Z384" i="1"/>
  <c r="AG384" i="1"/>
  <c r="T384" i="1"/>
  <c r="AB384" i="1" s="1"/>
  <c r="V384" i="1"/>
  <c r="AI384" i="1" s="1"/>
  <c r="U384" i="1"/>
  <c r="X384" i="1" s="1"/>
  <c r="Z281" i="1"/>
  <c r="AG281" i="1"/>
  <c r="V281" i="1"/>
  <c r="AI281" i="1" s="1"/>
  <c r="T281" i="1"/>
  <c r="AB281" i="1" s="1"/>
  <c r="U281" i="1"/>
  <c r="X281" i="1" s="1"/>
  <c r="Z101" i="1"/>
  <c r="AG101" i="1"/>
  <c r="V101" i="1"/>
  <c r="AI101" i="1" s="1"/>
  <c r="U101" i="1"/>
  <c r="X101" i="1" s="1"/>
  <c r="T101" i="1"/>
  <c r="AB101" i="1" s="1"/>
  <c r="Z127" i="1"/>
  <c r="AG127" i="1"/>
  <c r="V127" i="1"/>
  <c r="AI127" i="1" s="1"/>
  <c r="U127" i="1"/>
  <c r="X127" i="1" s="1"/>
  <c r="T127" i="1"/>
  <c r="AB127" i="1" s="1"/>
  <c r="W399" i="1"/>
  <c r="Z200" i="1"/>
  <c r="AG200" i="1"/>
  <c r="V200" i="1"/>
  <c r="AI200" i="1" s="1"/>
  <c r="T200" i="1"/>
  <c r="AB200" i="1" s="1"/>
  <c r="U200" i="1"/>
  <c r="X200" i="1" s="1"/>
  <c r="Z249" i="1"/>
  <c r="AG249" i="1"/>
  <c r="V249" i="1"/>
  <c r="AI249" i="1" s="1"/>
  <c r="U249" i="1"/>
  <c r="X249" i="1" s="1"/>
  <c r="T249" i="1"/>
  <c r="AB249" i="1" s="1"/>
  <c r="Z53" i="1"/>
  <c r="AG53" i="1"/>
  <c r="V53" i="1"/>
  <c r="AI53" i="1" s="1"/>
  <c r="U53" i="1"/>
  <c r="X53" i="1" s="1"/>
  <c r="T53" i="1"/>
  <c r="AB53" i="1" s="1"/>
  <c r="Z55" i="1"/>
  <c r="AG55" i="1"/>
  <c r="U55" i="1"/>
  <c r="X55" i="1" s="1"/>
  <c r="V55" i="1"/>
  <c r="AI55" i="1" s="1"/>
  <c r="T55" i="1"/>
  <c r="AB55" i="1" s="1"/>
  <c r="Z143" i="1"/>
  <c r="AG143" i="1"/>
  <c r="V143" i="1"/>
  <c r="AI143" i="1" s="1"/>
  <c r="U143" i="1"/>
  <c r="X143" i="1" s="1"/>
  <c r="T143" i="1"/>
  <c r="AB143" i="1" s="1"/>
  <c r="Z207" i="1"/>
  <c r="AG207" i="1"/>
  <c r="V207" i="1"/>
  <c r="AI207" i="1" s="1"/>
  <c r="U207" i="1"/>
  <c r="X207" i="1" s="1"/>
  <c r="T207" i="1"/>
  <c r="AB207" i="1" s="1"/>
  <c r="Z271" i="1"/>
  <c r="AG271" i="1"/>
  <c r="U271" i="1"/>
  <c r="X271" i="1" s="1"/>
  <c r="V271" i="1"/>
  <c r="AI271" i="1" s="1"/>
  <c r="T271" i="1"/>
  <c r="AB271" i="1" s="1"/>
  <c r="Z335" i="1"/>
  <c r="AG335" i="1"/>
  <c r="U335" i="1"/>
  <c r="X335" i="1" s="1"/>
  <c r="V335" i="1"/>
  <c r="AI335" i="1" s="1"/>
  <c r="T335" i="1"/>
  <c r="AB335" i="1" s="1"/>
  <c r="Z447" i="1"/>
  <c r="AG447" i="1"/>
  <c r="V447" i="1"/>
  <c r="AI447" i="1" s="1"/>
  <c r="U447" i="1"/>
  <c r="X447" i="1" s="1"/>
  <c r="T447" i="1"/>
  <c r="AB447" i="1" s="1"/>
  <c r="Z471" i="1"/>
  <c r="AG471" i="1"/>
  <c r="V471" i="1"/>
  <c r="AI471" i="1" s="1"/>
  <c r="T471" i="1"/>
  <c r="AB471" i="1" s="1"/>
  <c r="U471" i="1"/>
  <c r="X471" i="1" s="1"/>
  <c r="Z144" i="1"/>
  <c r="AG144" i="1"/>
  <c r="U144" i="1"/>
  <c r="X144" i="1" s="1"/>
  <c r="T144" i="1"/>
  <c r="AB144" i="1" s="1"/>
  <c r="V144" i="1"/>
  <c r="AI144" i="1" s="1"/>
  <c r="Z208" i="1"/>
  <c r="AG208" i="1"/>
  <c r="U208" i="1"/>
  <c r="X208" i="1" s="1"/>
  <c r="T208" i="1"/>
  <c r="AB208" i="1" s="1"/>
  <c r="V208" i="1"/>
  <c r="AI208" i="1" s="1"/>
  <c r="Z272" i="1"/>
  <c r="AG272" i="1"/>
  <c r="T272" i="1"/>
  <c r="AB272" i="1" s="1"/>
  <c r="V272" i="1"/>
  <c r="AI272" i="1" s="1"/>
  <c r="U272" i="1"/>
  <c r="X272" i="1" s="1"/>
  <c r="Z336" i="1"/>
  <c r="AG336" i="1"/>
  <c r="T336" i="1"/>
  <c r="AB336" i="1" s="1"/>
  <c r="V336" i="1"/>
  <c r="AI336" i="1" s="1"/>
  <c r="U336" i="1"/>
  <c r="X336" i="1" s="1"/>
  <c r="Z400" i="1"/>
  <c r="AG400" i="1"/>
  <c r="T400" i="1"/>
  <c r="AB400" i="1" s="1"/>
  <c r="V400" i="1"/>
  <c r="AI400" i="1" s="1"/>
  <c r="U400" i="1"/>
  <c r="X400" i="1" s="1"/>
  <c r="Z464" i="1"/>
  <c r="AG464" i="1"/>
  <c r="T464" i="1"/>
  <c r="AB464" i="1" s="1"/>
  <c r="V464" i="1"/>
  <c r="AI464" i="1" s="1"/>
  <c r="U464" i="1"/>
  <c r="X464" i="1" s="1"/>
  <c r="Z480" i="1"/>
  <c r="AG480" i="1"/>
  <c r="V480" i="1"/>
  <c r="AI480" i="1" s="1"/>
  <c r="T480" i="1"/>
  <c r="AB480" i="1" s="1"/>
  <c r="U480" i="1"/>
  <c r="X480" i="1" s="1"/>
  <c r="Z129" i="1"/>
  <c r="AG129" i="1"/>
  <c r="U129" i="1"/>
  <c r="X129" i="1" s="1"/>
  <c r="T129" i="1"/>
  <c r="AB129" i="1" s="1"/>
  <c r="V129" i="1"/>
  <c r="AI129" i="1" s="1"/>
  <c r="Z193" i="1"/>
  <c r="AG193" i="1"/>
  <c r="U193" i="1"/>
  <c r="X193" i="1" s="1"/>
  <c r="T193" i="1"/>
  <c r="AB193" i="1" s="1"/>
  <c r="V193" i="1"/>
  <c r="AI193" i="1" s="1"/>
  <c r="Z297" i="1"/>
  <c r="AG297" i="1"/>
  <c r="V297" i="1"/>
  <c r="AI297" i="1" s="1"/>
  <c r="T297" i="1"/>
  <c r="AB297" i="1" s="1"/>
  <c r="U297" i="1"/>
  <c r="X297" i="1" s="1"/>
  <c r="Z313" i="1"/>
  <c r="AG313" i="1"/>
  <c r="V313" i="1"/>
  <c r="AI313" i="1" s="1"/>
  <c r="U313" i="1"/>
  <c r="X313" i="1" s="1"/>
  <c r="T313" i="1"/>
  <c r="AB313" i="1" s="1"/>
  <c r="Z98" i="1"/>
  <c r="AG98" i="1"/>
  <c r="V98" i="1"/>
  <c r="AI98" i="1" s="1"/>
  <c r="U98" i="1"/>
  <c r="X98" i="1" s="1"/>
  <c r="T98" i="1"/>
  <c r="AB98" i="1" s="1"/>
  <c r="Z116" i="1"/>
  <c r="AG116" i="1"/>
  <c r="V116" i="1"/>
  <c r="AI116" i="1" s="1"/>
  <c r="U116" i="1"/>
  <c r="X116" i="1" s="1"/>
  <c r="T116" i="1"/>
  <c r="AB116" i="1" s="1"/>
  <c r="Z188" i="1"/>
  <c r="AG188" i="1"/>
  <c r="V188" i="1"/>
  <c r="AI188" i="1" s="1"/>
  <c r="U188" i="1"/>
  <c r="X188" i="1" s="1"/>
  <c r="T188" i="1"/>
  <c r="AB188" i="1" s="1"/>
  <c r="Z133" i="1"/>
  <c r="AG133" i="1"/>
  <c r="V133" i="1"/>
  <c r="AI133" i="1" s="1"/>
  <c r="U133" i="1"/>
  <c r="X133" i="1" s="1"/>
  <c r="T133" i="1"/>
  <c r="AB133" i="1" s="1"/>
  <c r="W373" i="1"/>
  <c r="W333" i="1"/>
  <c r="W410" i="1"/>
  <c r="W381" i="1"/>
  <c r="W290" i="1"/>
  <c r="W299" i="1"/>
  <c r="Z191" i="1"/>
  <c r="AG191" i="1"/>
  <c r="V191" i="1"/>
  <c r="AI191" i="1" s="1"/>
  <c r="U191" i="1"/>
  <c r="X191" i="1" s="1"/>
  <c r="T191" i="1"/>
  <c r="AB191" i="1" s="1"/>
  <c r="Z192" i="1"/>
  <c r="AG192" i="1"/>
  <c r="T192" i="1"/>
  <c r="AB192" i="1" s="1"/>
  <c r="V192" i="1"/>
  <c r="AI192" i="1" s="1"/>
  <c r="U192" i="1"/>
  <c r="X192" i="1" s="1"/>
  <c r="Z177" i="1"/>
  <c r="AG177" i="1"/>
  <c r="V177" i="1"/>
  <c r="AI177" i="1" s="1"/>
  <c r="U177" i="1"/>
  <c r="X177" i="1" s="1"/>
  <c r="T177" i="1"/>
  <c r="AB177" i="1" s="1"/>
  <c r="Z100" i="1"/>
  <c r="AG100" i="1"/>
  <c r="V100" i="1"/>
  <c r="AI100" i="1" s="1"/>
  <c r="U100" i="1"/>
  <c r="X100" i="1" s="1"/>
  <c r="T100" i="1"/>
  <c r="AB100" i="1" s="1"/>
  <c r="AG423" i="1"/>
  <c r="Z423" i="1"/>
  <c r="V423" i="1"/>
  <c r="AI423" i="1" s="1"/>
  <c r="U423" i="1"/>
  <c r="X423" i="1" s="1"/>
  <c r="T423" i="1"/>
  <c r="AB423" i="1" s="1"/>
  <c r="Z328" i="1"/>
  <c r="AG328" i="1"/>
  <c r="V328" i="1"/>
  <c r="AI328" i="1" s="1"/>
  <c r="T328" i="1"/>
  <c r="AB328" i="1" s="1"/>
  <c r="U328" i="1"/>
  <c r="X328" i="1" s="1"/>
  <c r="Z57" i="1"/>
  <c r="AG57" i="1"/>
  <c r="U57" i="1"/>
  <c r="X57" i="1" s="1"/>
  <c r="T57" i="1"/>
  <c r="AB57" i="1" s="1"/>
  <c r="V57" i="1"/>
  <c r="AI57" i="1" s="1"/>
  <c r="Z90" i="1"/>
  <c r="AG90" i="1"/>
  <c r="V90" i="1"/>
  <c r="AI90" i="1" s="1"/>
  <c r="U90" i="1"/>
  <c r="X90" i="1" s="1"/>
  <c r="T90" i="1"/>
  <c r="AB90" i="1" s="1"/>
  <c r="Z108" i="1"/>
  <c r="AG108" i="1"/>
  <c r="V108" i="1"/>
  <c r="AI108" i="1" s="1"/>
  <c r="U108" i="1"/>
  <c r="X108" i="1" s="1"/>
  <c r="T108" i="1"/>
  <c r="AB108" i="1" s="1"/>
  <c r="Z151" i="1"/>
  <c r="AG151" i="1"/>
  <c r="U151" i="1"/>
  <c r="X151" i="1" s="1"/>
  <c r="V151" i="1"/>
  <c r="AI151" i="1" s="1"/>
  <c r="T151" i="1"/>
  <c r="AB151" i="1" s="1"/>
  <c r="Z279" i="1"/>
  <c r="AG279" i="1"/>
  <c r="U279" i="1"/>
  <c r="X279" i="1" s="1"/>
  <c r="V279" i="1"/>
  <c r="AI279" i="1" s="1"/>
  <c r="T279" i="1"/>
  <c r="AB279" i="1" s="1"/>
  <c r="Z152" i="1"/>
  <c r="AG152" i="1"/>
  <c r="V152" i="1"/>
  <c r="AI152" i="1" s="1"/>
  <c r="T152" i="1"/>
  <c r="AB152" i="1" s="1"/>
  <c r="U152" i="1"/>
  <c r="X152" i="1" s="1"/>
  <c r="Z216" i="1"/>
  <c r="AG216" i="1"/>
  <c r="V216" i="1"/>
  <c r="AI216" i="1" s="1"/>
  <c r="T216" i="1"/>
  <c r="AB216" i="1" s="1"/>
  <c r="U216" i="1"/>
  <c r="X216" i="1" s="1"/>
  <c r="Z280" i="1"/>
  <c r="AG280" i="1"/>
  <c r="V280" i="1"/>
  <c r="AI280" i="1" s="1"/>
  <c r="T280" i="1"/>
  <c r="AB280" i="1" s="1"/>
  <c r="U280" i="1"/>
  <c r="X280" i="1" s="1"/>
  <c r="Z344" i="1"/>
  <c r="AG344" i="1"/>
  <c r="V344" i="1"/>
  <c r="AI344" i="1" s="1"/>
  <c r="T344" i="1"/>
  <c r="AB344" i="1" s="1"/>
  <c r="U344" i="1"/>
  <c r="X344" i="1" s="1"/>
  <c r="Z408" i="1"/>
  <c r="AG408" i="1"/>
  <c r="V408" i="1"/>
  <c r="AI408" i="1" s="1"/>
  <c r="T408" i="1"/>
  <c r="AB408" i="1" s="1"/>
  <c r="U408" i="1"/>
  <c r="X408" i="1" s="1"/>
  <c r="Z73" i="1"/>
  <c r="AG73" i="1"/>
  <c r="U73" i="1"/>
  <c r="X73" i="1" s="1"/>
  <c r="V73" i="1"/>
  <c r="AI73" i="1" s="1"/>
  <c r="T73" i="1"/>
  <c r="AB73" i="1" s="1"/>
  <c r="Z137" i="1"/>
  <c r="AG137" i="1"/>
  <c r="V137" i="1"/>
  <c r="AI137" i="1" s="1"/>
  <c r="T137" i="1"/>
  <c r="AB137" i="1" s="1"/>
  <c r="U137" i="1"/>
  <c r="X137" i="1" s="1"/>
  <c r="Z201" i="1"/>
  <c r="AG201" i="1"/>
  <c r="V201" i="1"/>
  <c r="AI201" i="1" s="1"/>
  <c r="T201" i="1"/>
  <c r="AB201" i="1" s="1"/>
  <c r="U201" i="1"/>
  <c r="X201" i="1" s="1"/>
  <c r="Z321" i="1"/>
  <c r="AG321" i="1"/>
  <c r="V321" i="1"/>
  <c r="AI321" i="1" s="1"/>
  <c r="U321" i="1"/>
  <c r="X321" i="1" s="1"/>
  <c r="T321" i="1"/>
  <c r="AB321" i="1" s="1"/>
  <c r="Z337" i="1"/>
  <c r="AG337" i="1"/>
  <c r="V337" i="1"/>
  <c r="AI337" i="1" s="1"/>
  <c r="U337" i="1"/>
  <c r="X337" i="1" s="1"/>
  <c r="T337" i="1"/>
  <c r="AB337" i="1" s="1"/>
  <c r="W401" i="1"/>
  <c r="Z481" i="1"/>
  <c r="V481" i="1"/>
  <c r="AI481" i="1" s="1"/>
  <c r="AG481" i="1"/>
  <c r="U481" i="1"/>
  <c r="X481" i="1" s="1"/>
  <c r="T481" i="1"/>
  <c r="AB481" i="1" s="1"/>
  <c r="Z106" i="1"/>
  <c r="AG106" i="1"/>
  <c r="V106" i="1"/>
  <c r="AI106" i="1" s="1"/>
  <c r="U106" i="1"/>
  <c r="X106" i="1" s="1"/>
  <c r="T106" i="1"/>
  <c r="AB106" i="1" s="1"/>
  <c r="W67" i="1"/>
  <c r="Z132" i="1"/>
  <c r="AG132" i="1"/>
  <c r="V132" i="1"/>
  <c r="AI132" i="1" s="1"/>
  <c r="U132" i="1"/>
  <c r="X132" i="1" s="1"/>
  <c r="T132" i="1"/>
  <c r="AB132" i="1" s="1"/>
  <c r="Z141" i="1"/>
  <c r="AG141" i="1"/>
  <c r="V141" i="1"/>
  <c r="AI141" i="1" s="1"/>
  <c r="U141" i="1"/>
  <c r="X141" i="1" s="1"/>
  <c r="T141" i="1"/>
  <c r="AB141" i="1" s="1"/>
  <c r="W446" i="1"/>
  <c r="W146" i="1"/>
  <c r="W346" i="1"/>
  <c r="W445" i="1"/>
  <c r="W274" i="1"/>
  <c r="W362" i="1"/>
  <c r="W203" i="1"/>
  <c r="W363" i="1"/>
  <c r="W427" i="1"/>
  <c r="W435" i="1"/>
  <c r="Z319" i="1"/>
  <c r="AG319" i="1"/>
  <c r="U319" i="1"/>
  <c r="X319" i="1" s="1"/>
  <c r="V319" i="1"/>
  <c r="AI319" i="1" s="1"/>
  <c r="T319" i="1"/>
  <c r="AB319" i="1" s="1"/>
  <c r="Z320" i="1"/>
  <c r="AG320" i="1"/>
  <c r="T320" i="1"/>
  <c r="AB320" i="1" s="1"/>
  <c r="V320" i="1"/>
  <c r="AI320" i="1" s="1"/>
  <c r="U320" i="1"/>
  <c r="X320" i="1" s="1"/>
  <c r="Z265" i="1"/>
  <c r="AG265" i="1"/>
  <c r="V265" i="1"/>
  <c r="AI265" i="1" s="1"/>
  <c r="T265" i="1"/>
  <c r="AB265" i="1" s="1"/>
  <c r="U265" i="1"/>
  <c r="X265" i="1" s="1"/>
  <c r="Z172" i="1"/>
  <c r="AG172" i="1"/>
  <c r="V172" i="1"/>
  <c r="AI172" i="1" s="1"/>
  <c r="U172" i="1"/>
  <c r="X172" i="1" s="1"/>
  <c r="T172" i="1"/>
  <c r="AB172" i="1" s="1"/>
  <c r="Z263" i="1"/>
  <c r="AG263" i="1"/>
  <c r="V263" i="1"/>
  <c r="AI263" i="1" s="1"/>
  <c r="U263" i="1"/>
  <c r="X263" i="1" s="1"/>
  <c r="T263" i="1"/>
  <c r="AB263" i="1" s="1"/>
  <c r="Z392" i="1"/>
  <c r="AG392" i="1"/>
  <c r="V392" i="1"/>
  <c r="AI392" i="1" s="1"/>
  <c r="T392" i="1"/>
  <c r="AB392" i="1" s="1"/>
  <c r="U392" i="1"/>
  <c r="X392" i="1" s="1"/>
  <c r="Z185" i="1"/>
  <c r="AG185" i="1"/>
  <c r="V185" i="1"/>
  <c r="AI185" i="1" s="1"/>
  <c r="T185" i="1"/>
  <c r="AB185" i="1" s="1"/>
  <c r="U185" i="1"/>
  <c r="X185" i="1" s="1"/>
  <c r="Z180" i="1"/>
  <c r="AG180" i="1"/>
  <c r="V180" i="1"/>
  <c r="AI180" i="1" s="1"/>
  <c r="U180" i="1"/>
  <c r="X180" i="1" s="1"/>
  <c r="T180" i="1"/>
  <c r="AB180" i="1" s="1"/>
  <c r="Z63" i="1"/>
  <c r="AG63" i="1"/>
  <c r="U63" i="1"/>
  <c r="X63" i="1" s="1"/>
  <c r="T63" i="1"/>
  <c r="AB63" i="1" s="1"/>
  <c r="V63" i="1"/>
  <c r="AI63" i="1" s="1"/>
  <c r="Z215" i="1"/>
  <c r="AG215" i="1"/>
  <c r="U215" i="1"/>
  <c r="X215" i="1" s="1"/>
  <c r="V215" i="1"/>
  <c r="AI215" i="1" s="1"/>
  <c r="T215" i="1"/>
  <c r="AB215" i="1" s="1"/>
  <c r="Z343" i="1"/>
  <c r="AG343" i="1"/>
  <c r="V343" i="1"/>
  <c r="AI343" i="1" s="1"/>
  <c r="T343" i="1"/>
  <c r="AB343" i="1" s="1"/>
  <c r="U343" i="1"/>
  <c r="X343" i="1" s="1"/>
  <c r="Z479" i="1"/>
  <c r="AG479" i="1"/>
  <c r="T479" i="1"/>
  <c r="AB479" i="1" s="1"/>
  <c r="V479" i="1"/>
  <c r="AI479" i="1" s="1"/>
  <c r="U479" i="1"/>
  <c r="X479" i="1" s="1"/>
  <c r="Z60" i="1"/>
  <c r="AG60" i="1"/>
  <c r="V60" i="1"/>
  <c r="AI60" i="1" s="1"/>
  <c r="U60" i="1"/>
  <c r="X60" i="1" s="1"/>
  <c r="T60" i="1"/>
  <c r="AB60" i="1" s="1"/>
  <c r="Z79" i="1"/>
  <c r="AG79" i="1"/>
  <c r="V79" i="1"/>
  <c r="AI79" i="1" s="1"/>
  <c r="T79" i="1"/>
  <c r="AB79" i="1" s="1"/>
  <c r="U79" i="1"/>
  <c r="X79" i="1" s="1"/>
  <c r="Z159" i="1"/>
  <c r="AG159" i="1"/>
  <c r="U159" i="1"/>
  <c r="X159" i="1" s="1"/>
  <c r="V159" i="1"/>
  <c r="AI159" i="1" s="1"/>
  <c r="T159" i="1"/>
  <c r="AB159" i="1" s="1"/>
  <c r="Z223" i="1"/>
  <c r="AG223" i="1"/>
  <c r="U223" i="1"/>
  <c r="X223" i="1" s="1"/>
  <c r="T223" i="1"/>
  <c r="AB223" i="1" s="1"/>
  <c r="V223" i="1"/>
  <c r="AI223" i="1" s="1"/>
  <c r="Z287" i="1"/>
  <c r="AG287" i="1"/>
  <c r="U287" i="1"/>
  <c r="X287" i="1" s="1"/>
  <c r="T287" i="1"/>
  <c r="AB287" i="1" s="1"/>
  <c r="V287" i="1"/>
  <c r="AI287" i="1" s="1"/>
  <c r="Z351" i="1"/>
  <c r="AG351" i="1"/>
  <c r="V351" i="1"/>
  <c r="AI351" i="1" s="1"/>
  <c r="T351" i="1"/>
  <c r="AB351" i="1" s="1"/>
  <c r="U351" i="1"/>
  <c r="X351" i="1" s="1"/>
  <c r="W431" i="1"/>
  <c r="AG160" i="1"/>
  <c r="V160" i="1"/>
  <c r="AI160" i="1" s="1"/>
  <c r="T160" i="1"/>
  <c r="AB160" i="1" s="1"/>
  <c r="U160" i="1"/>
  <c r="X160" i="1" s="1"/>
  <c r="Z224" i="1"/>
  <c r="AG224" i="1"/>
  <c r="V224" i="1"/>
  <c r="AI224" i="1" s="1"/>
  <c r="T224" i="1"/>
  <c r="AB224" i="1" s="1"/>
  <c r="U224" i="1"/>
  <c r="X224" i="1" s="1"/>
  <c r="Z288" i="1"/>
  <c r="AG288" i="1"/>
  <c r="V288" i="1"/>
  <c r="AI288" i="1" s="1"/>
  <c r="T288" i="1"/>
  <c r="AB288" i="1" s="1"/>
  <c r="U288" i="1"/>
  <c r="X288" i="1" s="1"/>
  <c r="Z352" i="1"/>
  <c r="AG352" i="1"/>
  <c r="V352" i="1"/>
  <c r="AI352" i="1" s="1"/>
  <c r="T352" i="1"/>
  <c r="AB352" i="1" s="1"/>
  <c r="U352" i="1"/>
  <c r="X352" i="1" s="1"/>
  <c r="Z416" i="1"/>
  <c r="AG416" i="1"/>
  <c r="V416" i="1"/>
  <c r="AI416" i="1" s="1"/>
  <c r="T416" i="1"/>
  <c r="AB416" i="1" s="1"/>
  <c r="U416" i="1"/>
  <c r="X416" i="1" s="1"/>
  <c r="Z81" i="1"/>
  <c r="AG81" i="1"/>
  <c r="U81" i="1"/>
  <c r="X81" i="1" s="1"/>
  <c r="T81" i="1"/>
  <c r="AB81" i="1" s="1"/>
  <c r="V81" i="1"/>
  <c r="AI81" i="1" s="1"/>
  <c r="Z145" i="1"/>
  <c r="AG145" i="1"/>
  <c r="U145" i="1"/>
  <c r="X145" i="1" s="1"/>
  <c r="T145" i="1"/>
  <c r="AB145" i="1" s="1"/>
  <c r="V145" i="1"/>
  <c r="AI145" i="1" s="1"/>
  <c r="Z209" i="1"/>
  <c r="AG209" i="1"/>
  <c r="U209" i="1"/>
  <c r="X209" i="1" s="1"/>
  <c r="T209" i="1"/>
  <c r="AB209" i="1" s="1"/>
  <c r="V209" i="1"/>
  <c r="AI209" i="1" s="1"/>
  <c r="W273" i="1"/>
  <c r="Z345" i="1"/>
  <c r="AG345" i="1"/>
  <c r="V345" i="1"/>
  <c r="AI345" i="1" s="1"/>
  <c r="U345" i="1"/>
  <c r="X345" i="1" s="1"/>
  <c r="T345" i="1"/>
  <c r="AB345" i="1" s="1"/>
  <c r="Z122" i="1"/>
  <c r="AG122" i="1"/>
  <c r="U122" i="1"/>
  <c r="X122" i="1" s="1"/>
  <c r="V122" i="1"/>
  <c r="AI122" i="1" s="1"/>
  <c r="T122" i="1"/>
  <c r="AB122" i="1" s="1"/>
  <c r="Z140" i="1"/>
  <c r="V140" i="1"/>
  <c r="AI140" i="1" s="1"/>
  <c r="AG140" i="1"/>
  <c r="U140" i="1"/>
  <c r="X140" i="1" s="1"/>
  <c r="T140" i="1"/>
  <c r="AB140" i="1" s="1"/>
  <c r="W268" i="1"/>
  <c r="W325" i="1"/>
  <c r="W293" i="1"/>
  <c r="W418" i="1"/>
  <c r="AH317" i="1"/>
  <c r="Z49" i="1"/>
  <c r="AG49" i="1"/>
  <c r="U49" i="1"/>
  <c r="X49" i="1" s="1"/>
  <c r="V49" i="1"/>
  <c r="AI49" i="1" s="1"/>
  <c r="T49" i="1"/>
  <c r="AB49" i="1" s="1"/>
  <c r="Z47" i="1"/>
  <c r="AG47" i="1"/>
  <c r="V47" i="1"/>
  <c r="AI47" i="1" s="1"/>
  <c r="U47" i="1"/>
  <c r="X47" i="1" s="1"/>
  <c r="T47" i="1"/>
  <c r="AB47" i="1" s="1"/>
  <c r="AG463" i="1"/>
  <c r="Z463" i="1"/>
  <c r="V463" i="1"/>
  <c r="AI463" i="1" s="1"/>
  <c r="U463" i="1"/>
  <c r="X463" i="1" s="1"/>
  <c r="T463" i="1"/>
  <c r="AB463" i="1" s="1"/>
  <c r="Z456" i="1"/>
  <c r="AG456" i="1"/>
  <c r="V456" i="1"/>
  <c r="AI456" i="1" s="1"/>
  <c r="T456" i="1"/>
  <c r="AB456" i="1" s="1"/>
  <c r="U456" i="1"/>
  <c r="X456" i="1" s="1"/>
  <c r="Z121" i="1"/>
  <c r="AG121" i="1"/>
  <c r="V121" i="1"/>
  <c r="AI121" i="1" s="1"/>
  <c r="T121" i="1"/>
  <c r="AB121" i="1" s="1"/>
  <c r="U121" i="1"/>
  <c r="X121" i="1" s="1"/>
  <c r="Z87" i="1"/>
  <c r="AG87" i="1"/>
  <c r="V87" i="1"/>
  <c r="AI87" i="1" s="1"/>
  <c r="U87" i="1"/>
  <c r="X87" i="1" s="1"/>
  <c r="T87" i="1"/>
  <c r="AB87" i="1" s="1"/>
  <c r="Z167" i="1"/>
  <c r="AG167" i="1"/>
  <c r="V167" i="1"/>
  <c r="AI167" i="1" s="1"/>
  <c r="U167" i="1"/>
  <c r="X167" i="1" s="1"/>
  <c r="T167" i="1"/>
  <c r="AB167" i="1" s="1"/>
  <c r="Z231" i="1"/>
  <c r="AG231" i="1"/>
  <c r="U231" i="1"/>
  <c r="X231" i="1" s="1"/>
  <c r="V231" i="1"/>
  <c r="AI231" i="1" s="1"/>
  <c r="T231" i="1"/>
  <c r="AB231" i="1" s="1"/>
  <c r="Z295" i="1"/>
  <c r="AG295" i="1"/>
  <c r="U295" i="1"/>
  <c r="X295" i="1" s="1"/>
  <c r="V295" i="1"/>
  <c r="AI295" i="1" s="1"/>
  <c r="T295" i="1"/>
  <c r="AB295" i="1" s="1"/>
  <c r="Z359" i="1"/>
  <c r="AG359" i="1"/>
  <c r="V359" i="1"/>
  <c r="AI359" i="1" s="1"/>
  <c r="U359" i="1"/>
  <c r="X359" i="1" s="1"/>
  <c r="T359" i="1"/>
  <c r="AB359" i="1" s="1"/>
  <c r="Z168" i="1"/>
  <c r="AG168" i="1"/>
  <c r="T168" i="1"/>
  <c r="AB168" i="1" s="1"/>
  <c r="V168" i="1"/>
  <c r="AI168" i="1" s="1"/>
  <c r="U168" i="1"/>
  <c r="X168" i="1" s="1"/>
  <c r="Z232" i="1"/>
  <c r="AG232" i="1"/>
  <c r="T232" i="1"/>
  <c r="AB232" i="1" s="1"/>
  <c r="V232" i="1"/>
  <c r="AI232" i="1" s="1"/>
  <c r="U232" i="1"/>
  <c r="X232" i="1" s="1"/>
  <c r="Z296" i="1"/>
  <c r="AG296" i="1"/>
  <c r="T296" i="1"/>
  <c r="AB296" i="1" s="1"/>
  <c r="V296" i="1"/>
  <c r="AI296" i="1" s="1"/>
  <c r="U296" i="1"/>
  <c r="X296" i="1" s="1"/>
  <c r="Z360" i="1"/>
  <c r="AG360" i="1"/>
  <c r="T360" i="1"/>
  <c r="AB360" i="1" s="1"/>
  <c r="V360" i="1"/>
  <c r="AI360" i="1" s="1"/>
  <c r="U360" i="1"/>
  <c r="X360" i="1" s="1"/>
  <c r="Z424" i="1"/>
  <c r="AG424" i="1"/>
  <c r="T424" i="1"/>
  <c r="AB424" i="1" s="1"/>
  <c r="V424" i="1"/>
  <c r="AI424" i="1" s="1"/>
  <c r="U424" i="1"/>
  <c r="X424" i="1" s="1"/>
  <c r="Z89" i="1"/>
  <c r="AG89" i="1"/>
  <c r="U89" i="1"/>
  <c r="X89" i="1" s="1"/>
  <c r="V89" i="1"/>
  <c r="AI89" i="1" s="1"/>
  <c r="T89" i="1"/>
  <c r="AB89" i="1" s="1"/>
  <c r="Z153" i="1"/>
  <c r="AG153" i="1"/>
  <c r="V153" i="1"/>
  <c r="AI153" i="1" s="1"/>
  <c r="T153" i="1"/>
  <c r="AB153" i="1" s="1"/>
  <c r="U153" i="1"/>
  <c r="X153" i="1" s="1"/>
  <c r="Z217" i="1"/>
  <c r="AG217" i="1"/>
  <c r="V217" i="1"/>
  <c r="AI217" i="1" s="1"/>
  <c r="T217" i="1"/>
  <c r="AB217" i="1" s="1"/>
  <c r="U217" i="1"/>
  <c r="X217" i="1" s="1"/>
  <c r="Z353" i="1"/>
  <c r="AG353" i="1"/>
  <c r="V353" i="1"/>
  <c r="AI353" i="1" s="1"/>
  <c r="U353" i="1"/>
  <c r="X353" i="1" s="1"/>
  <c r="T353" i="1"/>
  <c r="AB353" i="1" s="1"/>
  <c r="Z377" i="1"/>
  <c r="AG377" i="1"/>
  <c r="V377" i="1"/>
  <c r="AI377" i="1" s="1"/>
  <c r="T377" i="1"/>
  <c r="AB377" i="1" s="1"/>
  <c r="U377" i="1"/>
  <c r="X377" i="1" s="1"/>
  <c r="Z425" i="1"/>
  <c r="AG425" i="1"/>
  <c r="V425" i="1"/>
  <c r="AI425" i="1" s="1"/>
  <c r="T425" i="1"/>
  <c r="AB425" i="1" s="1"/>
  <c r="U425" i="1"/>
  <c r="X425" i="1" s="1"/>
  <c r="Z130" i="1"/>
  <c r="AG130" i="1"/>
  <c r="U130" i="1"/>
  <c r="X130" i="1" s="1"/>
  <c r="V130" i="1"/>
  <c r="AI130" i="1" s="1"/>
  <c r="T130" i="1"/>
  <c r="AB130" i="1" s="1"/>
  <c r="Z68" i="1"/>
  <c r="AG68" i="1"/>
  <c r="V68" i="1"/>
  <c r="AI68" i="1" s="1"/>
  <c r="T68" i="1"/>
  <c r="AB68" i="1" s="1"/>
  <c r="U68" i="1"/>
  <c r="X68" i="1" s="1"/>
  <c r="Z148" i="1"/>
  <c r="AG148" i="1"/>
  <c r="V148" i="1"/>
  <c r="AI148" i="1" s="1"/>
  <c r="U148" i="1"/>
  <c r="X148" i="1" s="1"/>
  <c r="T148" i="1"/>
  <c r="AB148" i="1" s="1"/>
  <c r="Z102" i="1"/>
  <c r="AG102" i="1"/>
  <c r="V102" i="1"/>
  <c r="AI102" i="1" s="1"/>
  <c r="U102" i="1"/>
  <c r="X102" i="1" s="1"/>
  <c r="T102" i="1"/>
  <c r="AB102" i="1" s="1"/>
  <c r="W204" i="1"/>
  <c r="W117" i="1"/>
  <c r="W438" i="1"/>
  <c r="W394" i="1"/>
  <c r="Z415" i="1"/>
  <c r="AG415" i="1"/>
  <c r="T415" i="1"/>
  <c r="AB415" i="1" s="1"/>
  <c r="U415" i="1"/>
  <c r="X415" i="1" s="1"/>
  <c r="V415" i="1"/>
  <c r="AI415" i="1" s="1"/>
  <c r="Z448" i="1"/>
  <c r="AG448" i="1"/>
  <c r="T448" i="1"/>
  <c r="AB448" i="1" s="1"/>
  <c r="V448" i="1"/>
  <c r="AI448" i="1" s="1"/>
  <c r="U448" i="1"/>
  <c r="X448" i="1" s="1"/>
  <c r="Z241" i="1"/>
  <c r="AG241" i="1"/>
  <c r="V241" i="1"/>
  <c r="AI241" i="1" s="1"/>
  <c r="T241" i="1"/>
  <c r="AB241" i="1" s="1"/>
  <c r="U241" i="1"/>
  <c r="X241" i="1" s="1"/>
  <c r="Z74" i="1"/>
  <c r="V74" i="1"/>
  <c r="AI74" i="1" s="1"/>
  <c r="AG74" i="1"/>
  <c r="U74" i="1"/>
  <c r="X74" i="1" s="1"/>
  <c r="T74" i="1"/>
  <c r="AB74" i="1" s="1"/>
  <c r="Z199" i="1"/>
  <c r="AG199" i="1"/>
  <c r="V199" i="1"/>
  <c r="AI199" i="1" s="1"/>
  <c r="U199" i="1"/>
  <c r="X199" i="1" s="1"/>
  <c r="T199" i="1"/>
  <c r="AB199" i="1" s="1"/>
  <c r="Z120" i="1"/>
  <c r="AG120" i="1"/>
  <c r="U120" i="1"/>
  <c r="X120" i="1" s="1"/>
  <c r="T120" i="1"/>
  <c r="AB120" i="1" s="1"/>
  <c r="V120" i="1"/>
  <c r="AI120" i="1" s="1"/>
  <c r="Z289" i="1"/>
  <c r="AG289" i="1"/>
  <c r="V289" i="1"/>
  <c r="AI289" i="1" s="1"/>
  <c r="U289" i="1"/>
  <c r="X289" i="1" s="1"/>
  <c r="T289" i="1"/>
  <c r="AB289" i="1" s="1"/>
  <c r="Z109" i="1"/>
  <c r="AG109" i="1"/>
  <c r="V109" i="1"/>
  <c r="AI109" i="1" s="1"/>
  <c r="U109" i="1"/>
  <c r="X109" i="1" s="1"/>
  <c r="T109" i="1"/>
  <c r="AB109" i="1" s="1"/>
  <c r="Z29" i="1"/>
  <c r="AG29" i="1"/>
  <c r="V29" i="1"/>
  <c r="AI29" i="1" s="1"/>
  <c r="T29" i="1"/>
  <c r="AB29" i="1" s="1"/>
  <c r="U29" i="1"/>
  <c r="X29" i="1" s="1"/>
  <c r="Z175" i="1"/>
  <c r="AG175" i="1"/>
  <c r="V175" i="1"/>
  <c r="AI175" i="1" s="1"/>
  <c r="U175" i="1"/>
  <c r="X175" i="1" s="1"/>
  <c r="T175" i="1"/>
  <c r="AB175" i="1" s="1"/>
  <c r="Z303" i="1"/>
  <c r="AG303" i="1"/>
  <c r="U303" i="1"/>
  <c r="X303" i="1" s="1"/>
  <c r="V303" i="1"/>
  <c r="AI303" i="1" s="1"/>
  <c r="T303" i="1"/>
  <c r="AB303" i="1" s="1"/>
  <c r="Z80" i="1"/>
  <c r="AG80" i="1"/>
  <c r="V80" i="1"/>
  <c r="AI80" i="1" s="1"/>
  <c r="U80" i="1"/>
  <c r="X80" i="1" s="1"/>
  <c r="T80" i="1"/>
  <c r="AB80" i="1" s="1"/>
  <c r="Z304" i="1"/>
  <c r="AG304" i="1"/>
  <c r="V304" i="1"/>
  <c r="AI304" i="1" s="1"/>
  <c r="T304" i="1"/>
  <c r="AB304" i="1" s="1"/>
  <c r="U304" i="1"/>
  <c r="X304" i="1" s="1"/>
  <c r="Z432" i="1"/>
  <c r="AG432" i="1"/>
  <c r="V432" i="1"/>
  <c r="AI432" i="1" s="1"/>
  <c r="T432" i="1"/>
  <c r="AB432" i="1" s="1"/>
  <c r="U432" i="1"/>
  <c r="X432" i="1" s="1"/>
  <c r="Z161" i="1"/>
  <c r="AG161" i="1"/>
  <c r="U161" i="1"/>
  <c r="X161" i="1" s="1"/>
  <c r="V161" i="1"/>
  <c r="AI161" i="1" s="1"/>
  <c r="T161" i="1"/>
  <c r="AB161" i="1" s="1"/>
  <c r="Z385" i="1"/>
  <c r="AG385" i="1"/>
  <c r="V385" i="1"/>
  <c r="AI385" i="1" s="1"/>
  <c r="U385" i="1"/>
  <c r="X385" i="1" s="1"/>
  <c r="T385" i="1"/>
  <c r="AB385" i="1" s="1"/>
  <c r="Z76" i="1"/>
  <c r="AG76" i="1"/>
  <c r="V76" i="1"/>
  <c r="AI76" i="1" s="1"/>
  <c r="U76" i="1"/>
  <c r="X76" i="1" s="1"/>
  <c r="T76" i="1"/>
  <c r="AB76" i="1" s="1"/>
  <c r="Z69" i="1"/>
  <c r="AG69" i="1"/>
  <c r="V69" i="1"/>
  <c r="AI69" i="1" s="1"/>
  <c r="U69" i="1"/>
  <c r="X69" i="1" s="1"/>
  <c r="T69" i="1"/>
  <c r="AB69" i="1" s="1"/>
  <c r="Z255" i="1"/>
  <c r="AG255" i="1"/>
  <c r="U255" i="1"/>
  <c r="X255" i="1" s="1"/>
  <c r="V255" i="1"/>
  <c r="AI255" i="1" s="1"/>
  <c r="T255" i="1"/>
  <c r="AB255" i="1" s="1"/>
  <c r="Z256" i="1"/>
  <c r="AG256" i="1"/>
  <c r="T256" i="1"/>
  <c r="AB256" i="1" s="1"/>
  <c r="V256" i="1"/>
  <c r="AI256" i="1" s="1"/>
  <c r="U256" i="1"/>
  <c r="X256" i="1" s="1"/>
  <c r="Z113" i="1"/>
  <c r="AG113" i="1"/>
  <c r="U113" i="1"/>
  <c r="X113" i="1" s="1"/>
  <c r="V113" i="1"/>
  <c r="AI113" i="1" s="1"/>
  <c r="T113" i="1"/>
  <c r="AB113" i="1" s="1"/>
  <c r="Z327" i="1"/>
  <c r="AG327" i="1"/>
  <c r="V327" i="1"/>
  <c r="AI327" i="1" s="1"/>
  <c r="U327" i="1"/>
  <c r="X327" i="1" s="1"/>
  <c r="T327" i="1"/>
  <c r="AB327" i="1" s="1"/>
  <c r="Z439" i="1"/>
  <c r="AG439" i="1"/>
  <c r="V439" i="1"/>
  <c r="AI439" i="1" s="1"/>
  <c r="U439" i="1"/>
  <c r="X439" i="1" s="1"/>
  <c r="T439" i="1"/>
  <c r="AB439" i="1" s="1"/>
  <c r="Z264" i="1"/>
  <c r="AG264" i="1"/>
  <c r="V264" i="1"/>
  <c r="AI264" i="1" s="1"/>
  <c r="T264" i="1"/>
  <c r="AB264" i="1" s="1"/>
  <c r="U264" i="1"/>
  <c r="X264" i="1" s="1"/>
  <c r="W187" i="1"/>
  <c r="Z95" i="1"/>
  <c r="AG95" i="1"/>
  <c r="U95" i="1"/>
  <c r="X95" i="1" s="1"/>
  <c r="V95" i="1"/>
  <c r="AI95" i="1" s="1"/>
  <c r="T95" i="1"/>
  <c r="AB95" i="1" s="1"/>
  <c r="Z239" i="1"/>
  <c r="AG239" i="1"/>
  <c r="U239" i="1"/>
  <c r="X239" i="1" s="1"/>
  <c r="V239" i="1"/>
  <c r="AI239" i="1" s="1"/>
  <c r="T239" i="1"/>
  <c r="AB239" i="1" s="1"/>
  <c r="AG367" i="1"/>
  <c r="Z367" i="1"/>
  <c r="V367" i="1"/>
  <c r="AI367" i="1" s="1"/>
  <c r="T367" i="1"/>
  <c r="AB367" i="1" s="1"/>
  <c r="U367" i="1"/>
  <c r="X367" i="1" s="1"/>
  <c r="Z176" i="1"/>
  <c r="AG176" i="1"/>
  <c r="V176" i="1"/>
  <c r="AI176" i="1" s="1"/>
  <c r="U176" i="1"/>
  <c r="X176" i="1" s="1"/>
  <c r="T176" i="1"/>
  <c r="AB176" i="1" s="1"/>
  <c r="Z240" i="1"/>
  <c r="AG240" i="1"/>
  <c r="V240" i="1"/>
  <c r="AI240" i="1" s="1"/>
  <c r="T240" i="1"/>
  <c r="AB240" i="1" s="1"/>
  <c r="U240" i="1"/>
  <c r="X240" i="1" s="1"/>
  <c r="Z368" i="1"/>
  <c r="AG368" i="1"/>
  <c r="V368" i="1"/>
  <c r="AI368" i="1" s="1"/>
  <c r="T368" i="1"/>
  <c r="AB368" i="1" s="1"/>
  <c r="U368" i="1"/>
  <c r="X368" i="1" s="1"/>
  <c r="Z97" i="1"/>
  <c r="AG97" i="1"/>
  <c r="U97" i="1"/>
  <c r="X97" i="1" s="1"/>
  <c r="V97" i="1"/>
  <c r="AI97" i="1" s="1"/>
  <c r="T97" i="1"/>
  <c r="AB97" i="1" s="1"/>
  <c r="Z225" i="1"/>
  <c r="AG225" i="1"/>
  <c r="V225" i="1"/>
  <c r="AI225" i="1" s="1"/>
  <c r="T225" i="1"/>
  <c r="AB225" i="1" s="1"/>
  <c r="U225" i="1"/>
  <c r="X225" i="1" s="1"/>
  <c r="Z138" i="1"/>
  <c r="AG138" i="1"/>
  <c r="U138" i="1"/>
  <c r="X138" i="1" s="1"/>
  <c r="V138" i="1"/>
  <c r="AI138" i="1" s="1"/>
  <c r="T138" i="1"/>
  <c r="AB138" i="1" s="1"/>
  <c r="Z156" i="1"/>
  <c r="AG156" i="1"/>
  <c r="V156" i="1"/>
  <c r="AI156" i="1" s="1"/>
  <c r="U156" i="1"/>
  <c r="X156" i="1" s="1"/>
  <c r="T156" i="1"/>
  <c r="AB156" i="1" s="1"/>
  <c r="Z111" i="1"/>
  <c r="AG111" i="1"/>
  <c r="V111" i="1"/>
  <c r="AI111" i="1" s="1"/>
  <c r="U111" i="1"/>
  <c r="X111" i="1" s="1"/>
  <c r="T111" i="1"/>
  <c r="AB111" i="1" s="1"/>
  <c r="Z183" i="1"/>
  <c r="AG183" i="1"/>
  <c r="U183" i="1"/>
  <c r="X183" i="1" s="1"/>
  <c r="V183" i="1"/>
  <c r="AI183" i="1" s="1"/>
  <c r="T183" i="1"/>
  <c r="AB183" i="1" s="1"/>
  <c r="Z247" i="1"/>
  <c r="AG247" i="1"/>
  <c r="U247" i="1"/>
  <c r="X247" i="1" s="1"/>
  <c r="V247" i="1"/>
  <c r="AI247" i="1" s="1"/>
  <c r="T247" i="1"/>
  <c r="AB247" i="1" s="1"/>
  <c r="Z311" i="1"/>
  <c r="AG311" i="1"/>
  <c r="U311" i="1"/>
  <c r="X311" i="1" s="1"/>
  <c r="V311" i="1"/>
  <c r="AI311" i="1" s="1"/>
  <c r="T311" i="1"/>
  <c r="AB311" i="1" s="1"/>
  <c r="Z375" i="1"/>
  <c r="AG375" i="1"/>
  <c r="V375" i="1"/>
  <c r="AI375" i="1" s="1"/>
  <c r="U375" i="1"/>
  <c r="X375" i="1" s="1"/>
  <c r="T375" i="1"/>
  <c r="AB375" i="1" s="1"/>
  <c r="Z391" i="1"/>
  <c r="AG391" i="1"/>
  <c r="V391" i="1"/>
  <c r="AI391" i="1" s="1"/>
  <c r="U391" i="1"/>
  <c r="X391" i="1" s="1"/>
  <c r="T391" i="1"/>
  <c r="AB391" i="1" s="1"/>
  <c r="Z407" i="1"/>
  <c r="AG407" i="1"/>
  <c r="V407" i="1"/>
  <c r="AI407" i="1" s="1"/>
  <c r="T407" i="1"/>
  <c r="AB407" i="1" s="1"/>
  <c r="U407" i="1"/>
  <c r="X407" i="1" s="1"/>
  <c r="Z88" i="1"/>
  <c r="AG88" i="1"/>
  <c r="V88" i="1"/>
  <c r="AI88" i="1" s="1"/>
  <c r="T88" i="1"/>
  <c r="AB88" i="1" s="1"/>
  <c r="U88" i="1"/>
  <c r="X88" i="1" s="1"/>
  <c r="Z184" i="1"/>
  <c r="AG184" i="1"/>
  <c r="T184" i="1"/>
  <c r="AB184" i="1" s="1"/>
  <c r="V184" i="1"/>
  <c r="AI184" i="1" s="1"/>
  <c r="U184" i="1"/>
  <c r="X184" i="1" s="1"/>
  <c r="Z248" i="1"/>
  <c r="AG248" i="1"/>
  <c r="T248" i="1"/>
  <c r="AB248" i="1" s="1"/>
  <c r="V248" i="1"/>
  <c r="AI248" i="1" s="1"/>
  <c r="U248" i="1"/>
  <c r="X248" i="1" s="1"/>
  <c r="Z312" i="1"/>
  <c r="AG312" i="1"/>
  <c r="T312" i="1"/>
  <c r="AB312" i="1" s="1"/>
  <c r="U312" i="1"/>
  <c r="X312" i="1" s="1"/>
  <c r="V312" i="1"/>
  <c r="AI312" i="1" s="1"/>
  <c r="Z376" i="1"/>
  <c r="AG376" i="1"/>
  <c r="T376" i="1"/>
  <c r="AB376" i="1" s="1"/>
  <c r="V376" i="1"/>
  <c r="AI376" i="1" s="1"/>
  <c r="U376" i="1"/>
  <c r="X376" i="1" s="1"/>
  <c r="Z440" i="1"/>
  <c r="AG440" i="1"/>
  <c r="T440" i="1"/>
  <c r="AB440" i="1" s="1"/>
  <c r="V440" i="1"/>
  <c r="AI440" i="1" s="1"/>
  <c r="U440" i="1"/>
  <c r="X440" i="1" s="1"/>
  <c r="W472" i="1"/>
  <c r="Z105" i="1"/>
  <c r="AG105" i="1"/>
  <c r="U105" i="1"/>
  <c r="X105" i="1" s="1"/>
  <c r="T105" i="1"/>
  <c r="AB105" i="1" s="1"/>
  <c r="V105" i="1"/>
  <c r="AI105" i="1" s="1"/>
  <c r="Z169" i="1"/>
  <c r="AG169" i="1"/>
  <c r="T169" i="1"/>
  <c r="AB169" i="1" s="1"/>
  <c r="V169" i="1"/>
  <c r="AI169" i="1" s="1"/>
  <c r="U169" i="1"/>
  <c r="X169" i="1" s="1"/>
  <c r="Z233" i="1"/>
  <c r="AG233" i="1"/>
  <c r="T233" i="1"/>
  <c r="AB233" i="1" s="1"/>
  <c r="V233" i="1"/>
  <c r="AI233" i="1" s="1"/>
  <c r="U233" i="1"/>
  <c r="X233" i="1" s="1"/>
  <c r="W329" i="1"/>
  <c r="Z393" i="1"/>
  <c r="AG393" i="1"/>
  <c r="V393" i="1"/>
  <c r="AI393" i="1" s="1"/>
  <c r="T393" i="1"/>
  <c r="AB393" i="1" s="1"/>
  <c r="U393" i="1"/>
  <c r="X393" i="1" s="1"/>
  <c r="Z70" i="1"/>
  <c r="AG70" i="1"/>
  <c r="V70" i="1"/>
  <c r="AI70" i="1" s="1"/>
  <c r="U70" i="1"/>
  <c r="X70" i="1" s="1"/>
  <c r="T70" i="1"/>
  <c r="AB70" i="1" s="1"/>
  <c r="Z84" i="1"/>
  <c r="AG84" i="1"/>
  <c r="V84" i="1"/>
  <c r="AI84" i="1" s="1"/>
  <c r="U84" i="1"/>
  <c r="X84" i="1" s="1"/>
  <c r="T84" i="1"/>
  <c r="AB84" i="1" s="1"/>
  <c r="Z164" i="1"/>
  <c r="AG164" i="1"/>
  <c r="V164" i="1"/>
  <c r="AI164" i="1" s="1"/>
  <c r="T164" i="1"/>
  <c r="AB164" i="1" s="1"/>
  <c r="U164" i="1"/>
  <c r="X164" i="1" s="1"/>
  <c r="Z77" i="1"/>
  <c r="AG77" i="1"/>
  <c r="V77" i="1"/>
  <c r="AI77" i="1" s="1"/>
  <c r="U77" i="1"/>
  <c r="X77" i="1" s="1"/>
  <c r="T77" i="1"/>
  <c r="AB77" i="1" s="1"/>
  <c r="W324" i="1"/>
  <c r="W396" i="1"/>
  <c r="W85" i="1"/>
  <c r="W222" i="1"/>
  <c r="W104" i="1"/>
  <c r="W339" i="1"/>
  <c r="W379" i="1"/>
  <c r="W403" i="1"/>
  <c r="W467" i="1"/>
  <c r="AG26" i="1"/>
  <c r="T26" i="1"/>
  <c r="AB26" i="1" s="1"/>
  <c r="V26" i="1"/>
  <c r="AI26" i="1" s="1"/>
  <c r="Z26" i="1"/>
  <c r="U26" i="1"/>
  <c r="X26" i="1" s="1"/>
  <c r="V25" i="1"/>
  <c r="AI25" i="1" s="1"/>
  <c r="T25" i="1"/>
  <c r="AB25" i="1" s="1"/>
  <c r="AG25" i="1"/>
  <c r="Z25" i="1"/>
  <c r="U25" i="1"/>
  <c r="X25" i="1" s="1"/>
  <c r="Z24" i="1"/>
  <c r="AG24" i="1"/>
  <c r="V24" i="1"/>
  <c r="AI24" i="1" s="1"/>
  <c r="T24" i="1"/>
  <c r="AB24" i="1" s="1"/>
  <c r="U24" i="1"/>
  <c r="X24" i="1" s="1"/>
  <c r="V23" i="1"/>
  <c r="AI23" i="1" s="1"/>
  <c r="T23" i="1"/>
  <c r="AB23" i="1" s="1"/>
  <c r="Z23" i="1"/>
  <c r="AG23" i="1"/>
  <c r="U23" i="1"/>
  <c r="X23" i="1" s="1"/>
  <c r="AG22" i="1"/>
  <c r="Z22" i="1"/>
  <c r="T22" i="1"/>
  <c r="AB22" i="1" s="1"/>
  <c r="V22" i="1"/>
  <c r="AI22" i="1" s="1"/>
  <c r="U22" i="1"/>
  <c r="X22" i="1" s="1"/>
  <c r="V21" i="1"/>
  <c r="AI21" i="1" s="1"/>
  <c r="Z21" i="1"/>
  <c r="AG21" i="1"/>
  <c r="U21" i="1"/>
  <c r="X21" i="1" s="1"/>
  <c r="T21" i="1"/>
  <c r="AB21" i="1" s="1"/>
  <c r="AG20" i="1"/>
  <c r="T20" i="1"/>
  <c r="AB20" i="1" s="1"/>
  <c r="Z20" i="1"/>
  <c r="V20" i="1"/>
  <c r="AI20" i="1" s="1"/>
  <c r="U20" i="1"/>
  <c r="X20" i="1" s="1"/>
  <c r="T19" i="1"/>
  <c r="AB19" i="1" s="1"/>
  <c r="V19" i="1"/>
  <c r="AI19" i="1" s="1"/>
  <c r="AG19" i="1"/>
  <c r="Z19" i="1"/>
  <c r="U19" i="1"/>
  <c r="X19" i="1" s="1"/>
  <c r="AG18" i="1"/>
  <c r="T18" i="1"/>
  <c r="AB18" i="1" s="1"/>
  <c r="V18" i="1"/>
  <c r="AI18" i="1" s="1"/>
  <c r="Z18" i="1"/>
  <c r="U18" i="1"/>
  <c r="X18" i="1" s="1"/>
  <c r="V17" i="1"/>
  <c r="AI17" i="1" s="1"/>
  <c r="T17" i="1"/>
  <c r="AB17" i="1" s="1"/>
  <c r="Z17" i="1"/>
  <c r="AG17" i="1"/>
  <c r="U17" i="1"/>
  <c r="X17" i="1" s="1"/>
  <c r="Z16" i="1"/>
  <c r="AG16" i="1"/>
  <c r="V16" i="1"/>
  <c r="AI16" i="1" s="1"/>
  <c r="T16" i="1"/>
  <c r="AB16" i="1" s="1"/>
  <c r="U16" i="1"/>
  <c r="X16" i="1" s="1"/>
  <c r="Z15" i="1"/>
  <c r="AG15" i="1"/>
  <c r="T15" i="1"/>
  <c r="AB15" i="1" s="1"/>
  <c r="U15" i="1"/>
  <c r="X15" i="1" s="1"/>
  <c r="V15" i="1"/>
  <c r="AI15" i="1" s="1"/>
  <c r="AG14" i="1"/>
  <c r="Z14" i="1"/>
  <c r="T14" i="1"/>
  <c r="AB14" i="1" s="1"/>
  <c r="V14" i="1"/>
  <c r="AI14" i="1" s="1"/>
  <c r="U14" i="1"/>
  <c r="X14" i="1" s="1"/>
  <c r="Z13" i="1"/>
  <c r="AG13" i="1"/>
  <c r="V13" i="1"/>
  <c r="AI13" i="1" s="1"/>
  <c r="U13" i="1"/>
  <c r="X13" i="1" s="1"/>
  <c r="T13" i="1"/>
  <c r="AB13" i="1" s="1"/>
  <c r="AH346" i="1" l="1"/>
  <c r="AH421" i="1"/>
  <c r="AH6" i="1"/>
  <c r="AH325" i="1"/>
  <c r="AH437" i="1"/>
  <c r="AH244" i="1"/>
  <c r="AH309" i="1"/>
  <c r="AH395" i="1"/>
  <c r="AH364" i="1"/>
  <c r="AH306" i="1"/>
  <c r="AH378" i="1"/>
  <c r="AH322" i="1"/>
  <c r="AH315" i="1"/>
  <c r="AH338" i="1"/>
  <c r="AH459" i="1"/>
  <c r="AH396" i="1"/>
  <c r="AH356" i="1"/>
  <c r="AH83" i="1"/>
  <c r="AH305" i="1"/>
  <c r="AH341" i="1"/>
  <c r="AH380" i="1"/>
  <c r="AH251" i="1"/>
  <c r="AH366" i="1"/>
  <c r="AH85" i="1"/>
  <c r="AH472" i="1"/>
  <c r="AH370" i="1"/>
  <c r="AH450" i="1"/>
  <c r="AH409" i="1"/>
  <c r="AH410" i="1"/>
  <c r="AH131" i="1"/>
  <c r="AH173" i="1"/>
  <c r="AH379" i="1"/>
  <c r="AH332" i="1"/>
  <c r="AH431" i="1"/>
  <c r="AH290" i="1"/>
  <c r="AH427" i="1"/>
  <c r="AH75" i="1"/>
  <c r="AH399" i="1"/>
  <c r="AH348" i="1"/>
  <c r="AH125" i="1"/>
  <c r="AH475" i="1"/>
  <c r="AH293" i="1"/>
  <c r="AH275" i="1"/>
  <c r="AH445" i="1"/>
  <c r="AH387" i="1"/>
  <c r="AH252" i="1"/>
  <c r="AH268" i="1"/>
  <c r="AH147" i="1"/>
  <c r="AH301" i="1"/>
  <c r="AH381" i="1"/>
  <c r="W275" i="1"/>
  <c r="W261" i="1"/>
  <c r="AH245" i="1"/>
  <c r="W244" i="1"/>
  <c r="AH234" i="1"/>
  <c r="AH204" i="1"/>
  <c r="AH220" i="1"/>
  <c r="AH250" i="1"/>
  <c r="W107" i="1"/>
  <c r="W356" i="1"/>
  <c r="W390" i="1"/>
  <c r="W475" i="1"/>
  <c r="AH326" i="1"/>
  <c r="W158" i="1"/>
  <c r="W465" i="1"/>
  <c r="W196" i="1"/>
  <c r="W453" i="1"/>
  <c r="W338" i="1"/>
  <c r="W254" i="1"/>
  <c r="AH258" i="1"/>
  <c r="W250" i="1"/>
  <c r="AH307" i="1"/>
  <c r="W402" i="1"/>
  <c r="W371" i="1"/>
  <c r="AH286" i="1"/>
  <c r="AH455" i="1"/>
  <c r="W181" i="1"/>
  <c r="AH171" i="1"/>
  <c r="W246" i="1"/>
  <c r="W442" i="1"/>
  <c r="W259" i="1"/>
  <c r="AH323" i="1"/>
  <c r="AH441" i="1"/>
  <c r="AH373" i="1"/>
  <c r="W284" i="1"/>
  <c r="W235" i="1"/>
  <c r="W282" i="1"/>
  <c r="W302" i="1"/>
  <c r="W340" i="1"/>
  <c r="W234" i="1"/>
  <c r="W173" i="1"/>
  <c r="W382" i="1"/>
  <c r="AH284" i="1"/>
  <c r="AH302" i="1"/>
  <c r="AH361" i="1"/>
  <c r="W443" i="1"/>
  <c r="W405" i="1"/>
  <c r="AH438" i="1"/>
  <c r="AH330" i="1"/>
  <c r="AH443" i="1"/>
  <c r="AH371" i="1"/>
  <c r="AH219" i="1"/>
  <c r="AH350" i="1"/>
  <c r="AH222" i="1"/>
  <c r="AH253" i="1"/>
  <c r="AH285" i="1"/>
  <c r="AH163" i="1"/>
  <c r="AH115" i="1"/>
  <c r="W322" i="1"/>
  <c r="AH298" i="1"/>
  <c r="W99" i="1"/>
  <c r="W276" i="1"/>
  <c r="AH124" i="1"/>
  <c r="W454" i="1"/>
  <c r="AH198" i="1"/>
  <c r="AH454" i="1"/>
  <c r="W243" i="1"/>
  <c r="AH310" i="1"/>
  <c r="AH170" i="1"/>
  <c r="AH149" i="1"/>
  <c r="AH412" i="1"/>
  <c r="AH405" i="1"/>
  <c r="AH283" i="1"/>
  <c r="W291" i="1"/>
  <c r="W361" i="1"/>
  <c r="W220" i="1"/>
  <c r="AH294" i="1"/>
  <c r="W350" i="1"/>
  <c r="AH291" i="1"/>
  <c r="AH397" i="1"/>
  <c r="AH308" i="1"/>
  <c r="W219" i="1"/>
  <c r="W257" i="1"/>
  <c r="W433" i="1"/>
  <c r="AH339" i="1"/>
  <c r="W163" i="1"/>
  <c r="W277" i="1"/>
  <c r="W198" i="1"/>
  <c r="AH354" i="1"/>
  <c r="AH107" i="1"/>
  <c r="AH238" i="1"/>
  <c r="AH277" i="1"/>
  <c r="AH413" i="1"/>
  <c r="W455" i="1"/>
  <c r="W413" i="1"/>
  <c r="AH254" i="1"/>
  <c r="AH213" i="1"/>
  <c r="AH469" i="1"/>
  <c r="W285" i="1"/>
  <c r="W260" i="1"/>
  <c r="W253" i="1"/>
  <c r="AH316" i="1"/>
  <c r="W283" i="1"/>
  <c r="AH12" i="1"/>
  <c r="AH365" i="1"/>
  <c r="AH259" i="1"/>
  <c r="AH243" i="1"/>
  <c r="AH347" i="1"/>
  <c r="AH269" i="1"/>
  <c r="AH453" i="1"/>
  <c r="AH452" i="1"/>
  <c r="AH181" i="1"/>
  <c r="AH388" i="1"/>
  <c r="AH394" i="1"/>
  <c r="W300" i="1"/>
  <c r="W179" i="1"/>
  <c r="AH402" i="1"/>
  <c r="AH99" i="1"/>
  <c r="AH117" i="1"/>
  <c r="AH7" i="1"/>
  <c r="AH118" i="1"/>
  <c r="AH134" i="1"/>
  <c r="AH461" i="1"/>
  <c r="W310" i="1"/>
  <c r="W269" i="1"/>
  <c r="AH157" i="1"/>
  <c r="W388" i="1"/>
  <c r="W452" i="1"/>
  <c r="AH91" i="1"/>
  <c r="AH428" i="1"/>
  <c r="AH349" i="1"/>
  <c r="AH355" i="1"/>
  <c r="AH477" i="1"/>
  <c r="AH451" i="1"/>
  <c r="W171" i="1"/>
  <c r="W347" i="1"/>
  <c r="AH179" i="1"/>
  <c r="AH227" i="1"/>
  <c r="AH162" i="1"/>
  <c r="AH5" i="1"/>
  <c r="AC5" i="1" s="1"/>
  <c r="AH205" i="1"/>
  <c r="W227" i="1"/>
  <c r="AH457" i="1"/>
  <c r="W4" i="1"/>
  <c r="W3" i="1"/>
  <c r="W451" i="1"/>
  <c r="AH276" i="1"/>
  <c r="AH93" i="1"/>
  <c r="AH4" i="1"/>
  <c r="AC4" i="1" s="1"/>
  <c r="AH363" i="1"/>
  <c r="AH155" i="1"/>
  <c r="AH411" i="1"/>
  <c r="AH333" i="1"/>
  <c r="AH261" i="1"/>
  <c r="W218" i="1"/>
  <c r="W436" i="1"/>
  <c r="W411" i="1"/>
  <c r="W118" i="1"/>
  <c r="W267" i="1"/>
  <c r="W323" i="1"/>
  <c r="AH158" i="1"/>
  <c r="W237" i="1"/>
  <c r="AH235" i="1"/>
  <c r="AH3" i="1"/>
  <c r="C1" i="1" s="1"/>
  <c r="AH189" i="1"/>
  <c r="W298" i="1"/>
  <c r="W412" i="1"/>
  <c r="W197" i="1"/>
  <c r="W468" i="1"/>
  <c r="W457" i="1"/>
  <c r="AH135" i="1"/>
  <c r="AH8" i="1"/>
  <c r="AH340" i="1"/>
  <c r="W211" i="1"/>
  <c r="V114" i="1"/>
  <c r="AI114" i="1" s="1"/>
  <c r="AH128" i="1"/>
  <c r="AH331" i="1"/>
  <c r="AH468" i="1"/>
  <c r="W370" i="1"/>
  <c r="W115" i="1"/>
  <c r="W308" i="1"/>
  <c r="W124" i="1"/>
  <c r="W365" i="1"/>
  <c r="AH11" i="1"/>
  <c r="AC11" i="1" s="1"/>
  <c r="AH404" i="1"/>
  <c r="W9" i="1"/>
  <c r="W459" i="1"/>
  <c r="W178" i="1"/>
  <c r="W349" i="1"/>
  <c r="W7" i="1"/>
  <c r="W395" i="1"/>
  <c r="W307" i="1"/>
  <c r="W309" i="1"/>
  <c r="W125" i="1"/>
  <c r="AH196" i="1"/>
  <c r="W430" i="1"/>
  <c r="W477" i="1"/>
  <c r="W6" i="1"/>
  <c r="W11" i="1"/>
  <c r="W5" i="1"/>
  <c r="W331" i="1"/>
  <c r="W189" i="1"/>
  <c r="W286" i="1"/>
  <c r="W252" i="1"/>
  <c r="W166" i="1"/>
  <c r="W147" i="1"/>
  <c r="W149" i="1"/>
  <c r="AH318" i="1"/>
  <c r="W170" i="1"/>
  <c r="AG114" i="1"/>
  <c r="W12" i="1"/>
  <c r="AH382" i="1"/>
  <c r="W354" i="1"/>
  <c r="W355" i="1"/>
  <c r="W318" i="1"/>
  <c r="AH357" i="1"/>
  <c r="AH15" i="1"/>
  <c r="W374" i="1"/>
  <c r="W383" i="1"/>
  <c r="W157" i="1"/>
  <c r="W238" i="1"/>
  <c r="W461" i="1"/>
  <c r="AH165" i="1"/>
  <c r="W397" i="1"/>
  <c r="W316" i="1"/>
  <c r="U114" i="1"/>
  <c r="X114" i="1" s="1"/>
  <c r="AH10" i="1"/>
  <c r="W93" i="1"/>
  <c r="W348" i="1"/>
  <c r="W341" i="1"/>
  <c r="W357" i="1"/>
  <c r="W110" i="1"/>
  <c r="W213" i="1"/>
  <c r="W155" i="1"/>
  <c r="W83" i="1"/>
  <c r="W91" i="1"/>
  <c r="W86" i="1"/>
  <c r="AH446" i="1"/>
  <c r="W128" i="1"/>
  <c r="W404" i="1"/>
  <c r="W245" i="1"/>
  <c r="T114" i="1"/>
  <c r="W10" i="1"/>
  <c r="AH9" i="1"/>
  <c r="W428" i="1"/>
  <c r="W8" i="1"/>
  <c r="AH482" i="1"/>
  <c r="W20" i="1"/>
  <c r="W450" i="1"/>
  <c r="W162" i="1"/>
  <c r="AH246" i="1"/>
  <c r="AH146" i="1"/>
  <c r="AH142" i="1"/>
  <c r="W139" i="1"/>
  <c r="W135" i="1"/>
  <c r="W262" i="1"/>
  <c r="AH436" i="1"/>
  <c r="AH197" i="1"/>
  <c r="W334" i="1"/>
  <c r="W482" i="1"/>
  <c r="W182" i="1"/>
  <c r="W476" i="1"/>
  <c r="AH426" i="1"/>
  <c r="AH292" i="1"/>
  <c r="W460" i="1"/>
  <c r="W462" i="1"/>
  <c r="W228" i="1"/>
  <c r="AH123" i="1"/>
  <c r="W123" i="1"/>
  <c r="W96" i="1"/>
  <c r="AH343" i="1"/>
  <c r="AH228" i="1"/>
  <c r="W126" i="1"/>
  <c r="AH470" i="1"/>
  <c r="W226" i="1"/>
  <c r="W376" i="1"/>
  <c r="W377" i="1"/>
  <c r="AH174" i="1"/>
  <c r="W386" i="1"/>
  <c r="W464" i="1"/>
  <c r="W330" i="1"/>
  <c r="AH103" i="1"/>
  <c r="AH71" i="1"/>
  <c r="W71" i="1"/>
  <c r="AH72" i="1"/>
  <c r="W72" i="1"/>
  <c r="AH458" i="1"/>
  <c r="AH242" i="1"/>
  <c r="AH47" i="1"/>
  <c r="W174" i="1"/>
  <c r="W186" i="1"/>
  <c r="W150" i="1"/>
  <c r="W364" i="1"/>
  <c r="W154" i="1"/>
  <c r="AH126" i="1"/>
  <c r="AH92" i="1"/>
  <c r="W103" i="1"/>
  <c r="W296" i="1"/>
  <c r="W359" i="1"/>
  <c r="AH462" i="1"/>
  <c r="AH390" i="1"/>
  <c r="W423" i="1"/>
  <c r="W426" i="1"/>
  <c r="W278" i="1"/>
  <c r="W480" i="1"/>
  <c r="W165" i="1"/>
  <c r="AH439" i="1"/>
  <c r="AH385" i="1"/>
  <c r="W258" i="1"/>
  <c r="AH447" i="1"/>
  <c r="W142" i="1"/>
  <c r="AH96" i="1"/>
  <c r="AH214" i="1"/>
  <c r="AH266" i="1"/>
  <c r="AH314" i="1"/>
  <c r="AH86" i="1"/>
  <c r="W458" i="1"/>
  <c r="W326" i="1"/>
  <c r="W229" i="1"/>
  <c r="AH182" i="1"/>
  <c r="W409" i="1"/>
  <c r="W292" i="1"/>
  <c r="W68" i="1"/>
  <c r="AH359" i="1"/>
  <c r="W264" i="1"/>
  <c r="W353" i="1"/>
  <c r="W352" i="1"/>
  <c r="AH328" i="1"/>
  <c r="AH38" i="1"/>
  <c r="AH342" i="1"/>
  <c r="W239" i="1"/>
  <c r="W56" i="1"/>
  <c r="AH383" i="1"/>
  <c r="W385" i="1"/>
  <c r="AH102" i="1"/>
  <c r="W287" i="1"/>
  <c r="AH386" i="1"/>
  <c r="W448" i="1"/>
  <c r="W343" i="1"/>
  <c r="W180" i="1"/>
  <c r="W408" i="1"/>
  <c r="W328" i="1"/>
  <c r="AH471" i="1"/>
  <c r="W294" i="1"/>
  <c r="AH327" i="1"/>
  <c r="AH345" i="1"/>
  <c r="W271" i="1"/>
  <c r="AH112" i="1"/>
  <c r="AH27" i="1"/>
  <c r="W314" i="1"/>
  <c r="AH289" i="1"/>
  <c r="AH78" i="1"/>
  <c r="W212" i="1"/>
  <c r="AH53" i="1"/>
  <c r="AH393" i="1"/>
  <c r="W280" i="1"/>
  <c r="W473" i="1"/>
  <c r="W336" i="1"/>
  <c r="AH406" i="1"/>
  <c r="AB422" i="1"/>
  <c r="AH422" i="1" s="1"/>
  <c r="W422" i="1"/>
  <c r="W90" i="1"/>
  <c r="W384" i="1"/>
  <c r="W342" i="1"/>
  <c r="AB358" i="1"/>
  <c r="AH358" i="1" s="1"/>
  <c r="W358" i="1"/>
  <c r="W233" i="1"/>
  <c r="AH199" i="1"/>
  <c r="W74" i="1"/>
  <c r="AH217" i="1"/>
  <c r="W153" i="1"/>
  <c r="AH288" i="1"/>
  <c r="AH28" i="1"/>
  <c r="W94" i="1"/>
  <c r="W270" i="1"/>
  <c r="AH300" i="1"/>
  <c r="W183" i="1"/>
  <c r="W132" i="1"/>
  <c r="W247" i="1"/>
  <c r="W304" i="1"/>
  <c r="AH303" i="1"/>
  <c r="W60" i="1"/>
  <c r="AH279" i="1"/>
  <c r="AH313" i="1"/>
  <c r="W208" i="1"/>
  <c r="W207" i="1"/>
  <c r="AH32" i="1"/>
  <c r="AH48" i="1"/>
  <c r="W156" i="1"/>
  <c r="AH240" i="1"/>
  <c r="W176" i="1"/>
  <c r="AH255" i="1"/>
  <c r="AH263" i="1"/>
  <c r="W191" i="1"/>
  <c r="W214" i="1"/>
  <c r="AH87" i="1"/>
  <c r="AH249" i="1"/>
  <c r="W136" i="1"/>
  <c r="W78" i="1"/>
  <c r="W206" i="1"/>
  <c r="W236" i="1"/>
  <c r="W164" i="1"/>
  <c r="AH169" i="1"/>
  <c r="W160" i="1"/>
  <c r="AH201" i="1"/>
  <c r="AH144" i="1"/>
  <c r="W210" i="1"/>
  <c r="W241" i="1"/>
  <c r="AH136" i="1"/>
  <c r="AH434" i="1"/>
  <c r="AH233" i="1"/>
  <c r="AH376" i="1"/>
  <c r="W88" i="1"/>
  <c r="W407" i="1"/>
  <c r="AH375" i="1"/>
  <c r="W113" i="1"/>
  <c r="W256" i="1"/>
  <c r="AH80" i="1"/>
  <c r="AH29" i="1"/>
  <c r="AH415" i="1"/>
  <c r="AH377" i="1"/>
  <c r="AH360" i="1"/>
  <c r="AH231" i="1"/>
  <c r="W81" i="1"/>
  <c r="W351" i="1"/>
  <c r="AH159" i="1"/>
  <c r="W188" i="1"/>
  <c r="AH480" i="1"/>
  <c r="AH464" i="1"/>
  <c r="W335" i="1"/>
  <c r="AH61" i="1"/>
  <c r="W54" i="1"/>
  <c r="W406" i="1"/>
  <c r="W224" i="1"/>
  <c r="W327" i="1"/>
  <c r="W161" i="1"/>
  <c r="AH175" i="1"/>
  <c r="AH425" i="1"/>
  <c r="AH463" i="1"/>
  <c r="W319" i="1"/>
  <c r="W106" i="1"/>
  <c r="AH151" i="1"/>
  <c r="AH177" i="1"/>
  <c r="W447" i="1"/>
  <c r="AH190" i="1"/>
  <c r="W92" i="1"/>
  <c r="AH178" i="1"/>
  <c r="W434" i="1"/>
  <c r="AH391" i="1"/>
  <c r="AH225" i="1"/>
  <c r="W120" i="1"/>
  <c r="W130" i="1"/>
  <c r="AH352" i="1"/>
  <c r="AH479" i="1"/>
  <c r="AH321" i="1"/>
  <c r="AH344" i="1"/>
  <c r="W216" i="1"/>
  <c r="W185" i="1"/>
  <c r="W367" i="1"/>
  <c r="AH138" i="1"/>
  <c r="W439" i="1"/>
  <c r="W289" i="1"/>
  <c r="AH232" i="1"/>
  <c r="AH209" i="1"/>
  <c r="AH287" i="1"/>
  <c r="W479" i="1"/>
  <c r="AH265" i="1"/>
  <c r="W320" i="1"/>
  <c r="W193" i="1"/>
  <c r="AH127" i="1"/>
  <c r="AH64" i="1"/>
  <c r="W398" i="1"/>
  <c r="AB444" i="1"/>
  <c r="AH444" i="1" s="1"/>
  <c r="W444" i="1"/>
  <c r="W420" i="1"/>
  <c r="W97" i="1"/>
  <c r="AH160" i="1"/>
  <c r="AH392" i="1"/>
  <c r="W201" i="1"/>
  <c r="AH297" i="1"/>
  <c r="W65" i="1"/>
  <c r="W45" i="1"/>
  <c r="AH210" i="1"/>
  <c r="AH206" i="1"/>
  <c r="AH212" i="1"/>
  <c r="AH473" i="1"/>
  <c r="W368" i="1"/>
  <c r="W372" i="1"/>
  <c r="W248" i="1"/>
  <c r="W255" i="1"/>
  <c r="AH353" i="1"/>
  <c r="AH122" i="1"/>
  <c r="AH81" i="1"/>
  <c r="AH79" i="1"/>
  <c r="AH172" i="1"/>
  <c r="AH337" i="1"/>
  <c r="W321" i="1"/>
  <c r="W344" i="1"/>
  <c r="AH31" i="1"/>
  <c r="AH194" i="1"/>
  <c r="W194" i="1"/>
  <c r="W470" i="1"/>
  <c r="AH278" i="1"/>
  <c r="AH94" i="1"/>
  <c r="AH95" i="1"/>
  <c r="AH90" i="1"/>
  <c r="W57" i="1"/>
  <c r="W133" i="1"/>
  <c r="AH129" i="1"/>
  <c r="AH55" i="1"/>
  <c r="W112" i="1"/>
  <c r="AH35" i="1"/>
  <c r="W34" i="1"/>
  <c r="AH65" i="1"/>
  <c r="W62" i="1"/>
  <c r="W43" i="1"/>
  <c r="W82" i="1"/>
  <c r="AH97" i="1"/>
  <c r="AH113" i="1"/>
  <c r="AH69" i="1"/>
  <c r="AH130" i="1"/>
  <c r="AH132" i="1"/>
  <c r="AH191" i="1"/>
  <c r="AH98" i="1"/>
  <c r="AH41" i="1"/>
  <c r="AH51" i="1"/>
  <c r="W33" i="1"/>
  <c r="AH52" i="1"/>
  <c r="AH54" i="1"/>
  <c r="AH77" i="1"/>
  <c r="AH164" i="1"/>
  <c r="W84" i="1"/>
  <c r="AH111" i="1"/>
  <c r="W76" i="1"/>
  <c r="W175" i="1"/>
  <c r="AH68" i="1"/>
  <c r="AH89" i="1"/>
  <c r="W167" i="1"/>
  <c r="W49" i="1"/>
  <c r="AH60" i="1"/>
  <c r="AH106" i="1"/>
  <c r="W73" i="1"/>
  <c r="AH152" i="1"/>
  <c r="AH108" i="1"/>
  <c r="AH100" i="1"/>
  <c r="AH116" i="1"/>
  <c r="AH193" i="1"/>
  <c r="AH58" i="1"/>
  <c r="AH59" i="1"/>
  <c r="W37" i="1"/>
  <c r="W190" i="1"/>
  <c r="AH63" i="1"/>
  <c r="AH101" i="1"/>
  <c r="W184" i="1"/>
  <c r="AH148" i="1"/>
  <c r="AH121" i="1"/>
  <c r="AH141" i="1"/>
  <c r="AH42" i="1"/>
  <c r="W63" i="1"/>
  <c r="W70" i="1"/>
  <c r="AH76" i="1"/>
  <c r="W109" i="1"/>
  <c r="W47" i="1"/>
  <c r="W122" i="1"/>
  <c r="AH192" i="1"/>
  <c r="W101" i="1"/>
  <c r="W38" i="1"/>
  <c r="W30" i="1"/>
  <c r="AH110" i="1"/>
  <c r="W77" i="1"/>
  <c r="W393" i="1"/>
  <c r="W169" i="1"/>
  <c r="W440" i="1"/>
  <c r="AH88" i="1"/>
  <c r="AH407" i="1"/>
  <c r="W391" i="1"/>
  <c r="W375" i="1"/>
  <c r="W311" i="1"/>
  <c r="AH156" i="1"/>
  <c r="AH239" i="1"/>
  <c r="AH264" i="1"/>
  <c r="W69" i="1"/>
  <c r="W29" i="1"/>
  <c r="AH74" i="1"/>
  <c r="AH241" i="1"/>
  <c r="AH448" i="1"/>
  <c r="W415" i="1"/>
  <c r="W425" i="1"/>
  <c r="AH296" i="1"/>
  <c r="W168" i="1"/>
  <c r="AH167" i="1"/>
  <c r="W456" i="1"/>
  <c r="W345" i="1"/>
  <c r="W145" i="1"/>
  <c r="W416" i="1"/>
  <c r="AH180" i="1"/>
  <c r="AH185" i="1"/>
  <c r="W172" i="1"/>
  <c r="W141" i="1"/>
  <c r="W337" i="1"/>
  <c r="AH216" i="1"/>
  <c r="W108" i="1"/>
  <c r="AH423" i="1"/>
  <c r="W192" i="1"/>
  <c r="AH188" i="1"/>
  <c r="W297" i="1"/>
  <c r="AH208" i="1"/>
  <c r="W471" i="1"/>
  <c r="AH143" i="1"/>
  <c r="W127" i="1"/>
  <c r="AH119" i="1"/>
  <c r="W58" i="1"/>
  <c r="W59" i="1"/>
  <c r="AH56" i="1"/>
  <c r="W42" i="1"/>
  <c r="W27" i="1"/>
  <c r="AH46" i="1"/>
  <c r="W28" i="1"/>
  <c r="W61" i="1"/>
  <c r="AH44" i="1"/>
  <c r="W138" i="1"/>
  <c r="W225" i="1"/>
  <c r="W232" i="1"/>
  <c r="W209" i="1"/>
  <c r="AH223" i="1"/>
  <c r="W79" i="1"/>
  <c r="W263" i="1"/>
  <c r="AH319" i="1"/>
  <c r="W481" i="1"/>
  <c r="AH280" i="1"/>
  <c r="W151" i="1"/>
  <c r="W177" i="1"/>
  <c r="AH133" i="1"/>
  <c r="W313" i="1"/>
  <c r="W144" i="1"/>
  <c r="AH207" i="1"/>
  <c r="W53" i="1"/>
  <c r="W249" i="1"/>
  <c r="W200" i="1"/>
  <c r="W39" i="1"/>
  <c r="AH30" i="1"/>
  <c r="W31" i="1"/>
  <c r="W32" i="1"/>
  <c r="AH36" i="1"/>
  <c r="AH40" i="1"/>
  <c r="AH45" i="1"/>
  <c r="AH66" i="1"/>
  <c r="AH184" i="1"/>
  <c r="AH183" i="1"/>
  <c r="AH176" i="1"/>
  <c r="AH367" i="1"/>
  <c r="W95" i="1"/>
  <c r="AH304" i="1"/>
  <c r="W303" i="1"/>
  <c r="W102" i="1"/>
  <c r="W148" i="1"/>
  <c r="AH424" i="1"/>
  <c r="AH295" i="1"/>
  <c r="W87" i="1"/>
  <c r="W121" i="1"/>
  <c r="W159" i="1"/>
  <c r="AH215" i="1"/>
  <c r="W392" i="1"/>
  <c r="AH73" i="1"/>
  <c r="W152" i="1"/>
  <c r="W279" i="1"/>
  <c r="W100" i="1"/>
  <c r="AH272" i="1"/>
  <c r="AH271" i="1"/>
  <c r="W55" i="1"/>
  <c r="AH50" i="1"/>
  <c r="AH34" i="1"/>
  <c r="W51" i="1"/>
  <c r="W48" i="1"/>
  <c r="AH62" i="1"/>
  <c r="W52" i="1"/>
  <c r="AH43" i="1"/>
  <c r="AH248" i="1"/>
  <c r="AH247" i="1"/>
  <c r="AH161" i="1"/>
  <c r="AH120" i="1"/>
  <c r="AH153" i="1"/>
  <c r="W424" i="1"/>
  <c r="W360" i="1"/>
  <c r="AH49" i="1"/>
  <c r="W140" i="1"/>
  <c r="AH224" i="1"/>
  <c r="AH351" i="1"/>
  <c r="W223" i="1"/>
  <c r="AH408" i="1"/>
  <c r="AH57" i="1"/>
  <c r="W116" i="1"/>
  <c r="W98" i="1"/>
  <c r="AH336" i="1"/>
  <c r="W272" i="1"/>
  <c r="AH335" i="1"/>
  <c r="W143" i="1"/>
  <c r="W119" i="1"/>
  <c r="AH37" i="1"/>
  <c r="W35" i="1"/>
  <c r="W36" i="1"/>
  <c r="W40" i="1"/>
  <c r="AH33" i="1"/>
  <c r="W46" i="1"/>
  <c r="W66" i="1"/>
  <c r="W44" i="1"/>
  <c r="AH84" i="1"/>
  <c r="AH312" i="1"/>
  <c r="AH311" i="1"/>
  <c r="W111" i="1"/>
  <c r="AH432" i="1"/>
  <c r="W80" i="1"/>
  <c r="AH109" i="1"/>
  <c r="W463" i="1"/>
  <c r="AH320" i="1"/>
  <c r="AH137" i="1"/>
  <c r="AH400" i="1"/>
  <c r="AH281" i="1"/>
  <c r="AH384" i="1"/>
  <c r="AH70" i="1"/>
  <c r="AH105" i="1"/>
  <c r="AH368" i="1"/>
  <c r="W199" i="1"/>
  <c r="W89" i="1"/>
  <c r="W231" i="1"/>
  <c r="AH481" i="1"/>
  <c r="W400" i="1"/>
  <c r="W105" i="1"/>
  <c r="AH440" i="1"/>
  <c r="W312" i="1"/>
  <c r="W240" i="1"/>
  <c r="AH256" i="1"/>
  <c r="W432" i="1"/>
  <c r="W217" i="1"/>
  <c r="AH168" i="1"/>
  <c r="W295" i="1"/>
  <c r="AH456" i="1"/>
  <c r="AH140" i="1"/>
  <c r="AH145" i="1"/>
  <c r="AH416" i="1"/>
  <c r="W288" i="1"/>
  <c r="W215" i="1"/>
  <c r="W265" i="1"/>
  <c r="W137" i="1"/>
  <c r="W129" i="1"/>
  <c r="AH200" i="1"/>
  <c r="W281" i="1"/>
  <c r="AH39" i="1"/>
  <c r="W50" i="1"/>
  <c r="W41" i="1"/>
  <c r="W64" i="1"/>
  <c r="AH26" i="1"/>
  <c r="W26" i="1"/>
  <c r="AH25" i="1"/>
  <c r="W25" i="1"/>
  <c r="AH24" i="1"/>
  <c r="W24" i="1"/>
  <c r="AH23" i="1"/>
  <c r="W23" i="1"/>
  <c r="AH21" i="1"/>
  <c r="W22" i="1"/>
  <c r="AH22" i="1"/>
  <c r="W21" i="1"/>
  <c r="AH20" i="1"/>
  <c r="W19" i="1"/>
  <c r="AH19" i="1"/>
  <c r="AH18" i="1"/>
  <c r="W18" i="1"/>
  <c r="AH17" i="1"/>
  <c r="W17" i="1"/>
  <c r="AH16" i="1"/>
  <c r="W16" i="1"/>
  <c r="W15" i="1"/>
  <c r="W14" i="1"/>
  <c r="AH14" i="1"/>
  <c r="AH13" i="1"/>
  <c r="W13" i="1"/>
  <c r="AB114" i="1" l="1"/>
  <c r="AH114" i="1" s="1"/>
  <c r="W114" i="1"/>
  <c r="X11" i="5" l="1"/>
  <c r="X10" i="5"/>
  <c r="X22" i="5"/>
  <c r="X19" i="5"/>
  <c r="X27" i="5"/>
  <c r="X15" i="5"/>
  <c r="X4" i="5"/>
  <c r="X6" i="5"/>
  <c r="S6" i="5" s="1"/>
  <c r="X21" i="5"/>
  <c r="X25" i="5"/>
  <c r="S25" i="5"/>
  <c r="X5" i="5"/>
  <c r="X20" i="5"/>
  <c r="X17" i="5"/>
  <c r="X16" i="5"/>
  <c r="S16" i="5" s="1"/>
  <c r="X24" i="5"/>
  <c r="X29" i="5"/>
  <c r="S29" i="5"/>
  <c r="X9" i="5"/>
  <c r="X14" i="5"/>
  <c r="X26" i="5"/>
  <c r="X8" i="5"/>
  <c r="S8" i="5" s="1"/>
  <c r="X18" i="5"/>
  <c r="X23" i="5"/>
  <c r="X30" i="5"/>
  <c r="X12" i="5"/>
  <c r="X28" i="5"/>
  <c r="R22" i="5"/>
  <c r="R9" i="5"/>
  <c r="R20" i="5"/>
  <c r="R5" i="5"/>
  <c r="R14" i="5"/>
  <c r="R26" i="5"/>
  <c r="R30" i="5"/>
  <c r="R24" i="5"/>
  <c r="R29" i="5"/>
  <c r="R3" i="5"/>
  <c r="R12" i="5"/>
  <c r="R25" i="5"/>
  <c r="R27" i="5"/>
  <c r="R13" i="5"/>
  <c r="R28" i="5"/>
  <c r="R6" i="5"/>
  <c r="R18" i="5"/>
  <c r="R8" i="5"/>
  <c r="R7" i="5"/>
  <c r="R10" i="5"/>
  <c r="R16" i="5"/>
  <c r="R4" i="5"/>
  <c r="R19" i="5"/>
  <c r="R15" i="5"/>
  <c r="R11" i="5"/>
  <c r="R23" i="5"/>
  <c r="R17" i="5"/>
  <c r="R21" i="5"/>
  <c r="X3" i="5"/>
  <c r="AC3" i="5" s="1"/>
  <c r="X7" i="5"/>
  <c r="AC5" i="5" l="1"/>
  <c r="AC6" i="5" s="1"/>
  <c r="AC7" i="5" s="1"/>
  <c r="AC8" i="5" s="1"/>
  <c r="AC9" i="5" s="1"/>
  <c r="AC10" i="5" s="1"/>
  <c r="AC11" i="5" s="1"/>
  <c r="AC12" i="5" s="1"/>
  <c r="AC13" i="5" s="1"/>
  <c r="AC14" i="5" s="1"/>
  <c r="AC15" i="5" s="1"/>
  <c r="AC16" i="5" s="1"/>
  <c r="AC17" i="5" s="1"/>
  <c r="AC18" i="5" s="1"/>
  <c r="AC19" i="5" s="1"/>
  <c r="AC20" i="5" s="1"/>
  <c r="AC21" i="5" s="1"/>
  <c r="AC22" i="5" s="1"/>
  <c r="AC23" i="5" s="1"/>
  <c r="AC24" i="5" s="1"/>
  <c r="AC25" i="5" s="1"/>
  <c r="AC26" i="5" s="1"/>
  <c r="AC27" i="5" s="1"/>
  <c r="AC28" i="5" s="1"/>
  <c r="AC29" i="5" s="1"/>
  <c r="AC30" i="5" s="1"/>
  <c r="AC4" i="5"/>
  <c r="S11" i="5"/>
  <c r="S17" i="5"/>
  <c r="S4" i="5"/>
  <c r="S28" i="5"/>
  <c r="S14" i="5"/>
  <c r="S20" i="5"/>
  <c r="S12" i="5"/>
  <c r="S9" i="5"/>
  <c r="S15" i="5"/>
  <c r="S10" i="5"/>
  <c r="S27" i="5"/>
  <c r="S3" i="5"/>
  <c r="S23" i="5"/>
  <c r="S19" i="5"/>
  <c r="S18" i="5"/>
  <c r="S24" i="5"/>
  <c r="S22" i="5"/>
  <c r="S30" i="5"/>
  <c r="S26" i="5"/>
  <c r="S5" i="5"/>
  <c r="S21" i="5"/>
  <c r="S7" i="5"/>
  <c r="C1" i="5"/>
  <c r="K16" i="5" l="1"/>
  <c r="K29" i="5"/>
  <c r="K15" i="5"/>
  <c r="K6" i="5"/>
  <c r="K20" i="5"/>
  <c r="K13" i="5"/>
  <c r="K9" i="5"/>
  <c r="K25" i="5"/>
  <c r="K30" i="5"/>
  <c r="K11" i="5"/>
  <c r="K24" i="5"/>
  <c r="K10" i="5"/>
  <c r="K18" i="5"/>
  <c r="K3" i="5"/>
  <c r="K27" i="5"/>
  <c r="K12" i="5"/>
  <c r="K4" i="5"/>
  <c r="K17" i="5"/>
  <c r="K22" i="5"/>
  <c r="K8" i="5"/>
  <c r="K21" i="5"/>
  <c r="K28" i="5"/>
  <c r="K5" i="5"/>
  <c r="K23" i="5"/>
  <c r="K14" i="5"/>
  <c r="K19" i="5"/>
  <c r="K7" i="5"/>
  <c r="K26" i="5"/>
</calcChain>
</file>

<file path=xl/sharedStrings.xml><?xml version="1.0" encoding="utf-8"?>
<sst xmlns="http://schemas.openxmlformats.org/spreadsheetml/2006/main" count="762" uniqueCount="115">
  <si>
    <t>Fecha Entrada</t>
  </si>
  <si>
    <t>Hora Entrada</t>
  </si>
  <si>
    <t>Activo</t>
  </si>
  <si>
    <t>Precio Entrada</t>
  </si>
  <si>
    <t>SL (%)</t>
  </si>
  <si>
    <t>TP (%)</t>
  </si>
  <si>
    <t>SL Precio</t>
  </si>
  <si>
    <t>TP Precio</t>
  </si>
  <si>
    <t>Tamaño ($)</t>
  </si>
  <si>
    <t>Fecha Cierre</t>
  </si>
  <si>
    <t>Hora Cierre</t>
  </si>
  <si>
    <t>Motivo Cierre</t>
  </si>
  <si>
    <t>% Retorno</t>
  </si>
  <si>
    <t>$ Retorno</t>
  </si>
  <si>
    <t>Observaciones</t>
  </si>
  <si>
    <t>Parámetro</t>
  </si>
  <si>
    <t>Valor</t>
  </si>
  <si>
    <t>Capital Inicial</t>
  </si>
  <si>
    <t>Apalancamiento</t>
  </si>
  <si>
    <t>% Riesgo por operación</t>
  </si>
  <si>
    <t>$100.00</t>
  </si>
  <si>
    <t>50:1</t>
  </si>
  <si>
    <t>1.0%</t>
  </si>
  <si>
    <t>tiempor TripleEMA</t>
  </si>
  <si>
    <t>TIEMPO</t>
  </si>
  <si>
    <t>Indicacion</t>
  </si>
  <si>
    <t>AUDUSD</t>
  </si>
  <si>
    <t>EURUSD</t>
  </si>
  <si>
    <t>GBPUSD</t>
  </si>
  <si>
    <t>USDCHF</t>
  </si>
  <si>
    <t>USDCAD</t>
  </si>
  <si>
    <t>USDJPY</t>
  </si>
  <si>
    <t>AUDCAD</t>
  </si>
  <si>
    <t>CADCHF</t>
  </si>
  <si>
    <t>EURAUD</t>
  </si>
  <si>
    <t>CHFJPY</t>
  </si>
  <si>
    <t>DIAS</t>
  </si>
  <si>
    <t>UP</t>
  </si>
  <si>
    <t>DOWN</t>
  </si>
  <si>
    <t>SL</t>
  </si>
  <si>
    <t>TP</t>
  </si>
  <si>
    <t xml:space="preserve">Precio  Actual </t>
  </si>
  <si>
    <t>Precio cierre</t>
  </si>
  <si>
    <t>Trailing stop</t>
  </si>
  <si>
    <t xml:space="preserve">Capital inicial </t>
  </si>
  <si>
    <t>OTRO</t>
  </si>
  <si>
    <t>DIRECCION DE MOVIMIENTO</t>
  </si>
  <si>
    <t>QUIEBRES DE NIVELES</t>
  </si>
  <si>
    <t>RETORNOS</t>
  </si>
  <si>
    <t>Quiebre_niveles</t>
  </si>
  <si>
    <t>Retornos</t>
  </si>
  <si>
    <t>NAN</t>
  </si>
  <si>
    <t>P_Stock</t>
  </si>
  <si>
    <t>P_BL</t>
  </si>
  <si>
    <t>P_R</t>
  </si>
  <si>
    <t>P_T</t>
  </si>
  <si>
    <t>P_global</t>
  </si>
  <si>
    <t>TP  (%)</t>
  </si>
  <si>
    <t>5 dias</t>
  </si>
  <si>
    <t>ENTRADA</t>
  </si>
  <si>
    <t xml:space="preserve">Resultado </t>
  </si>
  <si>
    <t>L</t>
  </si>
  <si>
    <t>SE DEJARON CORRER DEMASIADOS DIAS</t>
  </si>
  <si>
    <t xml:space="preserve">viene de senales bajistas en retroceso observar Fractales </t>
  </si>
  <si>
    <t>Fractales</t>
  </si>
  <si>
    <t>revisar fractales aunque estocastico esta bajista todos los indicadores estan al alza</t>
  </si>
  <si>
    <t xml:space="preserve">en retroceso revisar fractales ya que viene de senales bajistas </t>
  </si>
  <si>
    <t xml:space="preserve">senal bajista activa muy alejado de SL para tomar pero se podria entrar corto con sl de retornos </t>
  </si>
  <si>
    <t xml:space="preserve">senal bajista activa actualmente enretroceso </t>
  </si>
  <si>
    <t xml:space="preserve">no existen senales activas </t>
  </si>
  <si>
    <t>no hay senal activa</t>
  </si>
  <si>
    <t xml:space="preserve">se modifico el sl al sl de fractales </t>
  </si>
  <si>
    <t>rebotando en resistencia a una hora posible reversion alcista del precio</t>
  </si>
  <si>
    <t>en retroceso con estructuras alcistas a una hor posible posicion alcista</t>
  </si>
  <si>
    <t xml:space="preserve">con formacion de doble techo a una hora </t>
  </si>
  <si>
    <t>con rebote en resistencia posible entrada bajista</t>
  </si>
  <si>
    <t xml:space="preserve">esta en retroceso mejor esperar entrada </t>
  </si>
  <si>
    <t xml:space="preserve">rebotando en resistencia a una hora </t>
  </si>
  <si>
    <t>S/R</t>
  </si>
  <si>
    <t>movimiento alcista</t>
  </si>
  <si>
    <t>en movimiento bajista</t>
  </si>
  <si>
    <t>buy limit</t>
  </si>
  <si>
    <t>riesgo/beneficio</t>
  </si>
  <si>
    <t>Unidades</t>
  </si>
  <si>
    <t>Factor</t>
  </si>
  <si>
    <t>factor</t>
  </si>
  <si>
    <t>Observaciones2</t>
  </si>
  <si>
    <t>Etiquetas de fila</t>
  </si>
  <si>
    <t>Total general</t>
  </si>
  <si>
    <t>Cuenta de Activo</t>
  </si>
  <si>
    <t>Beakeven</t>
  </si>
  <si>
    <t>LOSE</t>
  </si>
  <si>
    <t>WIN</t>
  </si>
  <si>
    <t>Etiquetas de columna</t>
  </si>
  <si>
    <t>Cuenta de DIAS</t>
  </si>
  <si>
    <t>(en blanco)</t>
  </si>
  <si>
    <t>Suma de $ Retorno</t>
  </si>
  <si>
    <t xml:space="preserve">Cuenta de Resultado </t>
  </si>
  <si>
    <t>&lt;10/11/2025</t>
  </si>
  <si>
    <t>nov</t>
  </si>
  <si>
    <t>dic</t>
  </si>
  <si>
    <t>10-nov</t>
  </si>
  <si>
    <t>11-nov</t>
  </si>
  <si>
    <t>13-nov</t>
  </si>
  <si>
    <t>17-nov</t>
  </si>
  <si>
    <t>20-nov</t>
  </si>
  <si>
    <t>24-nov</t>
  </si>
  <si>
    <t>25-nov</t>
  </si>
  <si>
    <t>26-nov</t>
  </si>
  <si>
    <t>27-nov</t>
  </si>
  <si>
    <t>28-nov</t>
  </si>
  <si>
    <t>03-dic</t>
  </si>
  <si>
    <t>ACUMULADO</t>
  </si>
  <si>
    <t>Máx. de ACUMULADO</t>
  </si>
  <si>
    <t>Suma de % Retorno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</si>
</sst>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540A]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0" fillId="0" borderId="0" xfId="0" applyNumberFormat="1"/>
    <xf numFmtId="21" fontId="0" fillId="0" borderId="0" xfId="0" applyNumberFormat="1"/>
    <xf numFmtId="164" fontId="0" fillId="0" borderId="0" xfId="0" applyNumberFormat="1"/>
    <xf numFmtId="9" fontId="0" fillId="0" borderId="0" xfId="0" applyNumberFormat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  <xf numFmtId="2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15">
    <dxf>
      <fill>
        <patternFill>
          <bgColor theme="6"/>
        </patternFill>
      </fill>
    </dxf>
    <dxf>
      <fill>
        <patternFill>
          <bgColor theme="5" tint="0.39994506668294322"/>
        </patternFill>
      </fill>
    </dxf>
    <dxf>
      <fill>
        <patternFill>
          <bgColor theme="6"/>
        </patternFill>
      </fill>
    </dxf>
    <dxf>
      <fill>
        <patternFill>
          <bgColor theme="5" tint="0.39994506668294322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5" tint="0.39994506668294322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numFmt numFmtId="2" formatCode="0.00"/>
    </dxf>
    <dxf>
      <numFmt numFmtId="164" formatCode="[$$-540A]#,##0.00"/>
    </dxf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[Diario_Tradingok.xlsx]Hoja1!TablaDinámica1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Hoja1!$B$1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FCA-4830-95FB-C48EE8B2EDC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FCA-4830-95FB-C48EE8B2EDC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FCA-4830-95FB-C48EE8B2EDC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FCA-4830-95FB-C48EE8B2EDC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FCA-4830-95FB-C48EE8B2EDC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FCA-4830-95FB-C48EE8B2EDC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2FCA-4830-95FB-C48EE8B2EDC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2FCA-4830-95FB-C48EE8B2EDC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2FCA-4830-95FB-C48EE8B2EDCF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Hoja1!$A$2:$A$11</c:f>
              <c:strCache>
                <c:ptCount val="9"/>
                <c:pt idx="0">
                  <c:v>USDCHF</c:v>
                </c:pt>
                <c:pt idx="1">
                  <c:v>AUDUSD</c:v>
                </c:pt>
                <c:pt idx="2">
                  <c:v>CHFJPY</c:v>
                </c:pt>
                <c:pt idx="3">
                  <c:v>AUDCAD</c:v>
                </c:pt>
                <c:pt idx="4">
                  <c:v>USDJPY</c:v>
                </c:pt>
                <c:pt idx="5">
                  <c:v>GBPUSD</c:v>
                </c:pt>
                <c:pt idx="6">
                  <c:v>EURAUD</c:v>
                </c:pt>
                <c:pt idx="7">
                  <c:v>CADCHF</c:v>
                </c:pt>
                <c:pt idx="8">
                  <c:v>EURUSD</c:v>
                </c:pt>
              </c:strCache>
            </c:strRef>
          </c:cat>
          <c:val>
            <c:numRef>
              <c:f>Hoja1!$B$2:$B$11</c:f>
              <c:numCache>
                <c:formatCode>General</c:formatCode>
                <c:ptCount val="9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70-44AE-9B25-9128BBCF183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[Diario_Tradingok.xlsx]Hoja3!TablaDinámica3</c:name>
    <c:fmtId val="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Hoja3!$B$1:$B$2</c:f>
              <c:strCache>
                <c:ptCount val="1"/>
                <c:pt idx="0">
                  <c:v>Beakeven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Hoja3!$A$3:$A$12</c:f>
              <c:strCache>
                <c:ptCount val="9"/>
                <c:pt idx="0">
                  <c:v>AUDCAD</c:v>
                </c:pt>
                <c:pt idx="1">
                  <c:v>AUDUSD</c:v>
                </c:pt>
                <c:pt idx="2">
                  <c:v>CADCHF</c:v>
                </c:pt>
                <c:pt idx="3">
                  <c:v>CHFJPY</c:v>
                </c:pt>
                <c:pt idx="4">
                  <c:v>EURAUD</c:v>
                </c:pt>
                <c:pt idx="5">
                  <c:v>EURUSD</c:v>
                </c:pt>
                <c:pt idx="6">
                  <c:v>GBPUSD</c:v>
                </c:pt>
                <c:pt idx="7">
                  <c:v>USDCHF</c:v>
                </c:pt>
                <c:pt idx="8">
                  <c:v>USDJPY</c:v>
                </c:pt>
              </c:strCache>
            </c:strRef>
          </c:cat>
          <c:val>
            <c:numRef>
              <c:f>Hoja3!$B$3:$B$12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4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36-4D5F-8F8A-50B903BB781F}"/>
            </c:ext>
          </c:extLst>
        </c:ser>
        <c:ser>
          <c:idx val="1"/>
          <c:order val="1"/>
          <c:tx>
            <c:strRef>
              <c:f>Hoja3!$C$1:$C$2</c:f>
              <c:strCache>
                <c:ptCount val="1"/>
                <c:pt idx="0">
                  <c:v>LOSE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Hoja3!$A$3:$A$12</c:f>
              <c:strCache>
                <c:ptCount val="9"/>
                <c:pt idx="0">
                  <c:v>AUDCAD</c:v>
                </c:pt>
                <c:pt idx="1">
                  <c:v>AUDUSD</c:v>
                </c:pt>
                <c:pt idx="2">
                  <c:v>CADCHF</c:v>
                </c:pt>
                <c:pt idx="3">
                  <c:v>CHFJPY</c:v>
                </c:pt>
                <c:pt idx="4">
                  <c:v>EURAUD</c:v>
                </c:pt>
                <c:pt idx="5">
                  <c:v>EURUSD</c:v>
                </c:pt>
                <c:pt idx="6">
                  <c:v>GBPUSD</c:v>
                </c:pt>
                <c:pt idx="7">
                  <c:v>USDCHF</c:v>
                </c:pt>
                <c:pt idx="8">
                  <c:v>USDJPY</c:v>
                </c:pt>
              </c:strCache>
            </c:strRef>
          </c:cat>
          <c:val>
            <c:numRef>
              <c:f>Hoja3!$C$3:$C$12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A3F-4A8A-8DD3-A34C9C05D203}"/>
            </c:ext>
          </c:extLst>
        </c:ser>
        <c:ser>
          <c:idx val="2"/>
          <c:order val="2"/>
          <c:tx>
            <c:strRef>
              <c:f>Hoja3!$D$1:$D$2</c:f>
              <c:strCache>
                <c:ptCount val="1"/>
                <c:pt idx="0">
                  <c:v>WIN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Hoja3!$A$3:$A$12</c:f>
              <c:strCache>
                <c:ptCount val="9"/>
                <c:pt idx="0">
                  <c:v>AUDCAD</c:v>
                </c:pt>
                <c:pt idx="1">
                  <c:v>AUDUSD</c:v>
                </c:pt>
                <c:pt idx="2">
                  <c:v>CADCHF</c:v>
                </c:pt>
                <c:pt idx="3">
                  <c:v>CHFJPY</c:v>
                </c:pt>
                <c:pt idx="4">
                  <c:v>EURAUD</c:v>
                </c:pt>
                <c:pt idx="5">
                  <c:v>EURUSD</c:v>
                </c:pt>
                <c:pt idx="6">
                  <c:v>GBPUSD</c:v>
                </c:pt>
                <c:pt idx="7">
                  <c:v>USDCHF</c:v>
                </c:pt>
                <c:pt idx="8">
                  <c:v>USDJPY</c:v>
                </c:pt>
              </c:strCache>
            </c:strRef>
          </c:cat>
          <c:val>
            <c:numRef>
              <c:f>Hoja3!$D$3:$D$12</c:f>
              <c:numCache>
                <c:formatCode>General</c:formatCode>
                <c:ptCount val="9"/>
                <c:pt idx="1">
                  <c:v>1</c:v>
                </c:pt>
                <c:pt idx="2">
                  <c:v>1</c:v>
                </c:pt>
                <c:pt idx="3">
                  <c:v>4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A3F-4A8A-8DD3-A34C9C05D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3668992"/>
        <c:axId val="473670072"/>
      </c:barChart>
      <c:catAx>
        <c:axId val="473668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670072"/>
        <c:crosses val="autoZero"/>
        <c:auto val="1"/>
        <c:lblAlgn val="ctr"/>
        <c:lblOffset val="100"/>
        <c:noMultiLvlLbl val="0"/>
      </c:catAx>
      <c:valAx>
        <c:axId val="473670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668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[Diario_Tradingok.xlsx]Hoja4!TablaDinámica4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Hoja4!$B$1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Hoja4!$A$2:$A$7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(en blanco)</c:v>
                </c:pt>
              </c:strCache>
            </c:strRef>
          </c:cat>
          <c:val>
            <c:numRef>
              <c:f>Hoja4!$B$2:$B$7</c:f>
              <c:numCache>
                <c:formatCode>General</c:formatCode>
                <c:ptCount val="5"/>
                <c:pt idx="0">
                  <c:v>13</c:v>
                </c:pt>
                <c:pt idx="1">
                  <c:v>9</c:v>
                </c:pt>
                <c:pt idx="2">
                  <c:v>2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15-4F5B-92B6-C8FD7241E88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69579832"/>
        <c:axId val="469580192"/>
      </c:barChart>
      <c:catAx>
        <c:axId val="469579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580192"/>
        <c:crosses val="autoZero"/>
        <c:auto val="1"/>
        <c:lblAlgn val="ctr"/>
        <c:lblOffset val="100"/>
        <c:noMultiLvlLbl val="0"/>
      </c:catAx>
      <c:valAx>
        <c:axId val="46958019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69579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[Diario_Tradingok.xlsx]Hoja5!TablaDinámica5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Hoja5!$B$1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Hoja5!$A$2:$A$32</c:f>
              <c:multiLvlStrCache>
                <c:ptCount val="25"/>
                <c:lvl>
                  <c:pt idx="0">
                    <c:v>-3,29929454344693</c:v>
                  </c:pt>
                  <c:pt idx="1">
                    <c:v>-0,00824491258148837</c:v>
                  </c:pt>
                  <c:pt idx="2">
                    <c:v>0</c:v>
                  </c:pt>
                  <c:pt idx="3">
                    <c:v>2,03749053542442</c:v>
                  </c:pt>
                  <c:pt idx="4">
                    <c:v>2,07431171865461</c:v>
                  </c:pt>
                  <c:pt idx="5">
                    <c:v>2,15061968283341</c:v>
                  </c:pt>
                  <c:pt idx="6">
                    <c:v>2,35615147953542</c:v>
                  </c:pt>
                  <c:pt idx="7">
                    <c:v>2,751455106439</c:v>
                  </c:pt>
                  <c:pt idx="8">
                    <c:v>3,06512844883014</c:v>
                  </c:pt>
                  <c:pt idx="9">
                    <c:v>(en blanco)</c:v>
                  </c:pt>
                  <c:pt idx="10">
                    <c:v>-5,16642150027875</c:v>
                  </c:pt>
                  <c:pt idx="11">
                    <c:v>-2,83155136658853</c:v>
                  </c:pt>
                  <c:pt idx="12">
                    <c:v>1,20237526792319</c:v>
                  </c:pt>
                  <c:pt idx="13">
                    <c:v>2,12779395983433</c:v>
                  </c:pt>
                  <c:pt idx="14">
                    <c:v>2,54760533306852</c:v>
                  </c:pt>
                  <c:pt idx="15">
                    <c:v>3,13609636282432</c:v>
                  </c:pt>
                  <c:pt idx="16">
                    <c:v>4,183957920399</c:v>
                  </c:pt>
                  <c:pt idx="17">
                    <c:v>3,56918092903231</c:v>
                  </c:pt>
                  <c:pt idx="18">
                    <c:v>-0,0148620827503509</c:v>
                  </c:pt>
                  <c:pt idx="19">
                    <c:v>-0,241223881504986</c:v>
                  </c:pt>
                  <c:pt idx="20">
                    <c:v>0</c:v>
                  </c:pt>
                  <c:pt idx="21">
                    <c:v>-6,82178315147962</c:v>
                  </c:pt>
                  <c:pt idx="22">
                    <c:v>0,239625471548943</c:v>
                  </c:pt>
                  <c:pt idx="23">
                    <c:v>0,840644431882379</c:v>
                  </c:pt>
                  <c:pt idx="24">
                    <c:v>0</c:v>
                  </c:pt>
                </c:lvl>
                <c:lvl>
                  <c:pt idx="0">
                    <c:v>0</c:v>
                  </c:pt>
                  <c:pt idx="10">
                    <c:v>1</c:v>
                  </c:pt>
                  <c:pt idx="19">
                    <c:v>2</c:v>
                  </c:pt>
                  <c:pt idx="21">
                    <c:v>3</c:v>
                  </c:pt>
                  <c:pt idx="24">
                    <c:v>(en blanco)</c:v>
                  </c:pt>
                </c:lvl>
              </c:multiLvlStrCache>
            </c:multiLvlStrRef>
          </c:cat>
          <c:val>
            <c:numRef>
              <c:f>Hoja5!$B$2:$B$32</c:f>
              <c:numCache>
                <c:formatCode>General</c:formatCode>
                <c:ptCount val="25"/>
                <c:pt idx="0">
                  <c:v>-3.2992945434469307</c:v>
                </c:pt>
                <c:pt idx="1">
                  <c:v>-8.2449125814883749E-3</c:v>
                </c:pt>
                <c:pt idx="2">
                  <c:v>0</c:v>
                </c:pt>
                <c:pt idx="3">
                  <c:v>2.0374905354244222</c:v>
                </c:pt>
                <c:pt idx="4">
                  <c:v>2.0743117186546112</c:v>
                </c:pt>
                <c:pt idx="5">
                  <c:v>2.1506196828334083</c:v>
                </c:pt>
                <c:pt idx="6">
                  <c:v>2.3561514795354244</c:v>
                </c:pt>
                <c:pt idx="7">
                  <c:v>2.7514551064389954</c:v>
                </c:pt>
                <c:pt idx="8">
                  <c:v>3.0651284488301425</c:v>
                </c:pt>
                <c:pt idx="10">
                  <c:v>-5.1664215002787532</c:v>
                </c:pt>
                <c:pt idx="11">
                  <c:v>-2.8315513665885321</c:v>
                </c:pt>
                <c:pt idx="12">
                  <c:v>1.2023752679231894</c:v>
                </c:pt>
                <c:pt idx="13">
                  <c:v>2.1277939598343329</c:v>
                </c:pt>
                <c:pt idx="14">
                  <c:v>2.5476053330685211</c:v>
                </c:pt>
                <c:pt idx="15">
                  <c:v>3.1360963628243215</c:v>
                </c:pt>
                <c:pt idx="16">
                  <c:v>4.1839579203989974</c:v>
                </c:pt>
                <c:pt idx="17">
                  <c:v>3.5691809290323087</c:v>
                </c:pt>
                <c:pt idx="18">
                  <c:v>-1.4862082750350905E-2</c:v>
                </c:pt>
                <c:pt idx="19">
                  <c:v>-0.24122388150498583</c:v>
                </c:pt>
                <c:pt idx="20">
                  <c:v>0</c:v>
                </c:pt>
                <c:pt idx="21">
                  <c:v>-6.8217831514796163</c:v>
                </c:pt>
                <c:pt idx="22">
                  <c:v>0.2396254715489429</c:v>
                </c:pt>
                <c:pt idx="23">
                  <c:v>0.84064443188237914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3-29AF-42C2-946F-0840ED2F0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473844136"/>
        <c:axId val="473843056"/>
      </c:barChart>
      <c:catAx>
        <c:axId val="47384413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843056"/>
        <c:crosses val="autoZero"/>
        <c:auto val="1"/>
        <c:lblAlgn val="ctr"/>
        <c:lblOffset val="100"/>
        <c:noMultiLvlLbl val="0"/>
      </c:catAx>
      <c:valAx>
        <c:axId val="4738430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844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[Diario_Tradingok.xlsx]Hoja7!TablaDinámica1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Hoja7!$B$1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91A-45EF-96AC-D369EAEF095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91A-45EF-96AC-D369EAEF095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91A-45EF-96AC-D369EAEF0954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Hoja7!$A$2:$A$5</c:f>
              <c:strCache>
                <c:ptCount val="3"/>
                <c:pt idx="0">
                  <c:v>Beakeven</c:v>
                </c:pt>
                <c:pt idx="1">
                  <c:v>LOSE</c:v>
                </c:pt>
                <c:pt idx="2">
                  <c:v>WIN</c:v>
                </c:pt>
              </c:strCache>
            </c:strRef>
          </c:cat>
          <c:val>
            <c:numRef>
              <c:f>Hoja7!$B$2:$B$5</c:f>
              <c:numCache>
                <c:formatCode>General</c:formatCode>
                <c:ptCount val="3"/>
                <c:pt idx="0">
                  <c:v>7</c:v>
                </c:pt>
                <c:pt idx="1">
                  <c:v>7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8E-4A60-9BE2-13249C20111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[Diario_Tradingok.xlsx]Hoja8!TablaDinámica2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Hoja8!$B$1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Hoja8!$A$2:$A$16</c:f>
              <c:multiLvlStrCache>
                <c:ptCount val="12"/>
                <c:lvl>
                  <c:pt idx="1">
                    <c:v>10-nov</c:v>
                  </c:pt>
                  <c:pt idx="2">
                    <c:v>11-nov</c:v>
                  </c:pt>
                  <c:pt idx="3">
                    <c:v>13-nov</c:v>
                  </c:pt>
                  <c:pt idx="4">
                    <c:v>17-nov</c:v>
                  </c:pt>
                  <c:pt idx="5">
                    <c:v>20-nov</c:v>
                  </c:pt>
                  <c:pt idx="6">
                    <c:v>24-nov</c:v>
                  </c:pt>
                  <c:pt idx="7">
                    <c:v>25-nov</c:v>
                  </c:pt>
                  <c:pt idx="8">
                    <c:v>26-nov</c:v>
                  </c:pt>
                  <c:pt idx="9">
                    <c:v>27-nov</c:v>
                  </c:pt>
                  <c:pt idx="10">
                    <c:v>28-nov</c:v>
                  </c:pt>
                  <c:pt idx="11">
                    <c:v>03-dic</c:v>
                  </c:pt>
                </c:lvl>
                <c:lvl>
                  <c:pt idx="0">
                    <c:v>&lt;10/11/2025</c:v>
                  </c:pt>
                  <c:pt idx="1">
                    <c:v>nov</c:v>
                  </c:pt>
                  <c:pt idx="11">
                    <c:v>dic</c:v>
                  </c:pt>
                </c:lvl>
              </c:multiLvlStrCache>
            </c:multiLvlStrRef>
          </c:cat>
          <c:val>
            <c:numRef>
              <c:f>Hoja8!$B$2:$B$16</c:f>
              <c:numCache>
                <c:formatCode>General</c:formatCode>
                <c:ptCount val="12"/>
                <c:pt idx="0">
                  <c:v>0</c:v>
                </c:pt>
                <c:pt idx="1">
                  <c:v>-0.33025057597211527</c:v>
                </c:pt>
                <c:pt idx="2">
                  <c:v>-2.4331640256706256E-3</c:v>
                </c:pt>
                <c:pt idx="3">
                  <c:v>0.16780351733606313</c:v>
                </c:pt>
                <c:pt idx="4">
                  <c:v>5.1514522648546092E-2</c:v>
                </c:pt>
                <c:pt idx="5">
                  <c:v>0.4220252088358884</c:v>
                </c:pt>
                <c:pt idx="6">
                  <c:v>0.74374381620741292</c:v>
                </c:pt>
                <c:pt idx="7">
                  <c:v>0.23698378346767307</c:v>
                </c:pt>
                <c:pt idx="8">
                  <c:v>0.53095524739344913</c:v>
                </c:pt>
                <c:pt idx="9">
                  <c:v>-0.26498497879682481</c:v>
                </c:pt>
                <c:pt idx="10">
                  <c:v>2.3765901548672832E-2</c:v>
                </c:pt>
                <c:pt idx="11">
                  <c:v>0.35851511461387509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15-4975-973D-3033A8CBB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46370608"/>
        <c:axId val="437827896"/>
      </c:barChart>
      <c:catAx>
        <c:axId val="84637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827896"/>
        <c:crosses val="autoZero"/>
        <c:auto val="1"/>
        <c:lblAlgn val="ctr"/>
        <c:lblOffset val="100"/>
        <c:noMultiLvlLbl val="0"/>
      </c:catAx>
      <c:valAx>
        <c:axId val="437827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370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[Diario_Tradingok.xlsx]Hoja9!TablaDinámica3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Hoja9!$B$1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multiLvlStrRef>
              <c:f>Hoja9!$A$2:$A$18</c:f>
              <c:multiLvlStrCache>
                <c:ptCount val="12"/>
                <c:lvl>
                  <c:pt idx="0">
                    <c:v>(en blanco)</c:v>
                  </c:pt>
                </c:lvl>
                <c:lvl>
                  <c:pt idx="0">
                    <c:v>&lt;10/11/2025</c:v>
                  </c:pt>
                  <c:pt idx="1">
                    <c:v>10-nov</c:v>
                  </c:pt>
                  <c:pt idx="2">
                    <c:v>11-nov</c:v>
                  </c:pt>
                  <c:pt idx="3">
                    <c:v>13-nov</c:v>
                  </c:pt>
                  <c:pt idx="4">
                    <c:v>17-nov</c:v>
                  </c:pt>
                  <c:pt idx="5">
                    <c:v>20-nov</c:v>
                  </c:pt>
                  <c:pt idx="6">
                    <c:v>24-nov</c:v>
                  </c:pt>
                  <c:pt idx="7">
                    <c:v>25-nov</c:v>
                  </c:pt>
                  <c:pt idx="8">
                    <c:v>26-nov</c:v>
                  </c:pt>
                  <c:pt idx="9">
                    <c:v>27-nov</c:v>
                  </c:pt>
                  <c:pt idx="10">
                    <c:v>28-nov</c:v>
                  </c:pt>
                  <c:pt idx="11">
                    <c:v>03-dic</c:v>
                  </c:pt>
                </c:lvl>
                <c:lvl>
                  <c:pt idx="0">
                    <c:v>&lt;10/11/2025</c:v>
                  </c:pt>
                  <c:pt idx="1">
                    <c:v>nov</c:v>
                  </c:pt>
                  <c:pt idx="11">
                    <c:v>dic</c:v>
                  </c:pt>
                </c:lvl>
              </c:multiLvlStrCache>
            </c:multiLvlStrRef>
          </c:cat>
          <c:val>
            <c:numRef>
              <c:f>Hoja9!$B$2:$B$18</c:f>
              <c:numCache>
                <c:formatCode>[$$-540A]#,##0.00</c:formatCode>
                <c:ptCount val="12"/>
                <c:pt idx="0">
                  <c:v>99.14</c:v>
                </c:pt>
                <c:pt idx="1">
                  <c:v>99.379625471548948</c:v>
                </c:pt>
                <c:pt idx="2">
                  <c:v>89.48506707197582</c:v>
                </c:pt>
                <c:pt idx="3">
                  <c:v>86.185772528528886</c:v>
                </c:pt>
                <c:pt idx="4">
                  <c:v>87.026416960411268</c:v>
                </c:pt>
                <c:pt idx="5">
                  <c:v>91.210374880810264</c:v>
                </c:pt>
                <c:pt idx="6">
                  <c:v>99.665988815821422</c:v>
                </c:pt>
                <c:pt idx="7">
                  <c:v>104.49175564091503</c:v>
                </c:pt>
                <c:pt idx="8">
                  <c:v>109.75564596357368</c:v>
                </c:pt>
                <c:pt idx="9">
                  <c:v>112.3032512966422</c:v>
                </c:pt>
                <c:pt idx="10">
                  <c:v>109.48473636331738</c:v>
                </c:pt>
                <c:pt idx="11">
                  <c:v>113.05391729234969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EB-4E38-AEFE-82531B65B5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7953176"/>
        <c:axId val="847958216"/>
      </c:lineChart>
      <c:catAx>
        <c:axId val="847953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958216"/>
        <c:crosses val="autoZero"/>
        <c:auto val="1"/>
        <c:lblAlgn val="ctr"/>
        <c:lblOffset val="100"/>
        <c:noMultiLvlLbl val="0"/>
      </c:catAx>
      <c:valAx>
        <c:axId val="847958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[$$-540A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953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[Diario_Tradingok.xlsx]Hoja1!TablaDinámica1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% trade por activo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3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4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5"/>
        <c:spPr>
          <a:gradFill rotWithShape="1">
            <a:gsLst>
              <a:gs pos="0">
                <a:schemeClr val="accent4">
                  <a:shade val="51000"/>
                  <a:satMod val="130000"/>
                </a:schemeClr>
              </a:gs>
              <a:gs pos="80000">
                <a:schemeClr val="accent4">
                  <a:shade val="93000"/>
                  <a:satMod val="130000"/>
                </a:schemeClr>
              </a:gs>
              <a:gs pos="100000">
                <a:schemeClr val="accent4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6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7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8"/>
        <c:spPr>
          <a:gradFill rotWithShape="1">
            <a:gsLst>
              <a:gs pos="0">
                <a:schemeClr val="accent1">
                  <a:lumMod val="60000"/>
                  <a:shade val="51000"/>
                  <a:satMod val="130000"/>
                </a:schemeClr>
              </a:gs>
              <a:gs pos="80000">
                <a:schemeClr val="accent1">
                  <a:lumMod val="60000"/>
                  <a:shade val="93000"/>
                  <a:satMod val="130000"/>
                </a:schemeClr>
              </a:gs>
              <a:gs pos="100000">
                <a:schemeClr val="accent1">
                  <a:lumMod val="60000"/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9"/>
        <c:spPr>
          <a:gradFill rotWithShape="1">
            <a:gsLst>
              <a:gs pos="0">
                <a:schemeClr val="accent2">
                  <a:lumMod val="60000"/>
                  <a:shade val="51000"/>
                  <a:satMod val="130000"/>
                </a:schemeClr>
              </a:gs>
              <a:gs pos="80000">
                <a:schemeClr val="accent2">
                  <a:lumMod val="60000"/>
                  <a:shade val="93000"/>
                  <a:satMod val="130000"/>
                </a:schemeClr>
              </a:gs>
              <a:gs pos="100000">
                <a:schemeClr val="accent2">
                  <a:lumMod val="60000"/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0"/>
        <c:spPr>
          <a:gradFill rotWithShape="1">
            <a:gsLst>
              <a:gs pos="0">
                <a:schemeClr val="accent3">
                  <a:lumMod val="60000"/>
                  <a:shade val="51000"/>
                  <a:satMod val="130000"/>
                </a:schemeClr>
              </a:gs>
              <a:gs pos="80000">
                <a:schemeClr val="accent3">
                  <a:lumMod val="60000"/>
                  <a:shade val="93000"/>
                  <a:satMod val="130000"/>
                </a:schemeClr>
              </a:gs>
              <a:gs pos="100000">
                <a:schemeClr val="accent3">
                  <a:lumMod val="60000"/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Hoja1!$B$1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D8B7-41CB-9767-EA3211960EB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D8B7-41CB-9767-EA3211960EB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D8B7-41CB-9767-EA3211960EB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D8B7-41CB-9767-EA3211960EB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D8B7-41CB-9767-EA3211960EB2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D8B7-41CB-9767-EA3211960EB2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D8B7-41CB-9767-EA3211960EB2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D8B7-41CB-9767-EA3211960EB2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1-D8B7-41CB-9767-EA3211960E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Hoja1!$A$2:$A$11</c:f>
              <c:strCache>
                <c:ptCount val="9"/>
                <c:pt idx="0">
                  <c:v>USDCHF</c:v>
                </c:pt>
                <c:pt idx="1">
                  <c:v>AUDUSD</c:v>
                </c:pt>
                <c:pt idx="2">
                  <c:v>CHFJPY</c:v>
                </c:pt>
                <c:pt idx="3">
                  <c:v>AUDCAD</c:v>
                </c:pt>
                <c:pt idx="4">
                  <c:v>USDJPY</c:v>
                </c:pt>
                <c:pt idx="5">
                  <c:v>GBPUSD</c:v>
                </c:pt>
                <c:pt idx="6">
                  <c:v>EURAUD</c:v>
                </c:pt>
                <c:pt idx="7">
                  <c:v>CADCHF</c:v>
                </c:pt>
                <c:pt idx="8">
                  <c:v>EURUSD</c:v>
                </c:pt>
              </c:strCache>
            </c:strRef>
          </c:cat>
          <c:val>
            <c:numRef>
              <c:f>Hoja1!$B$2:$B$11</c:f>
              <c:numCache>
                <c:formatCode>General</c:formatCode>
                <c:ptCount val="9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8B7-41CB-9767-EA3211960EB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[Diario_Tradingok.xlsx]Hoja3!TablaDinámica3</c:name>
    <c:fmtId val="8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Hoja3!$B$1:$B$2</c:f>
              <c:strCache>
                <c:ptCount val="1"/>
                <c:pt idx="0">
                  <c:v>Beakeven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Hoja3!$A$3:$A$12</c:f>
              <c:strCache>
                <c:ptCount val="9"/>
                <c:pt idx="0">
                  <c:v>AUDCAD</c:v>
                </c:pt>
                <c:pt idx="1">
                  <c:v>AUDUSD</c:v>
                </c:pt>
                <c:pt idx="2">
                  <c:v>CADCHF</c:v>
                </c:pt>
                <c:pt idx="3">
                  <c:v>CHFJPY</c:v>
                </c:pt>
                <c:pt idx="4">
                  <c:v>EURAUD</c:v>
                </c:pt>
                <c:pt idx="5">
                  <c:v>EURUSD</c:v>
                </c:pt>
                <c:pt idx="6">
                  <c:v>GBPUSD</c:v>
                </c:pt>
                <c:pt idx="7">
                  <c:v>USDCHF</c:v>
                </c:pt>
                <c:pt idx="8">
                  <c:v>USDJPY</c:v>
                </c:pt>
              </c:strCache>
            </c:strRef>
          </c:cat>
          <c:val>
            <c:numRef>
              <c:f>Hoja3!$B$3:$B$12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4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CD-4677-BAF7-4980F25E72E2}"/>
            </c:ext>
          </c:extLst>
        </c:ser>
        <c:ser>
          <c:idx val="1"/>
          <c:order val="1"/>
          <c:tx>
            <c:strRef>
              <c:f>Hoja3!$C$1:$C$2</c:f>
              <c:strCache>
                <c:ptCount val="1"/>
                <c:pt idx="0">
                  <c:v>LOSE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Hoja3!$A$3:$A$12</c:f>
              <c:strCache>
                <c:ptCount val="9"/>
                <c:pt idx="0">
                  <c:v>AUDCAD</c:v>
                </c:pt>
                <c:pt idx="1">
                  <c:v>AUDUSD</c:v>
                </c:pt>
                <c:pt idx="2">
                  <c:v>CADCHF</c:v>
                </c:pt>
                <c:pt idx="3">
                  <c:v>CHFJPY</c:v>
                </c:pt>
                <c:pt idx="4">
                  <c:v>EURAUD</c:v>
                </c:pt>
                <c:pt idx="5">
                  <c:v>EURUSD</c:v>
                </c:pt>
                <c:pt idx="6">
                  <c:v>GBPUSD</c:v>
                </c:pt>
                <c:pt idx="7">
                  <c:v>USDCHF</c:v>
                </c:pt>
                <c:pt idx="8">
                  <c:v>USDJPY</c:v>
                </c:pt>
              </c:strCache>
            </c:strRef>
          </c:cat>
          <c:val>
            <c:numRef>
              <c:f>Hoja3!$C$3:$C$12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AB6-450F-BFC3-916402EA36D7}"/>
            </c:ext>
          </c:extLst>
        </c:ser>
        <c:ser>
          <c:idx val="2"/>
          <c:order val="2"/>
          <c:tx>
            <c:strRef>
              <c:f>Hoja3!$D$1:$D$2</c:f>
              <c:strCache>
                <c:ptCount val="1"/>
                <c:pt idx="0">
                  <c:v>WIN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Hoja3!$A$3:$A$12</c:f>
              <c:strCache>
                <c:ptCount val="9"/>
                <c:pt idx="0">
                  <c:v>AUDCAD</c:v>
                </c:pt>
                <c:pt idx="1">
                  <c:v>AUDUSD</c:v>
                </c:pt>
                <c:pt idx="2">
                  <c:v>CADCHF</c:v>
                </c:pt>
                <c:pt idx="3">
                  <c:v>CHFJPY</c:v>
                </c:pt>
                <c:pt idx="4">
                  <c:v>EURAUD</c:v>
                </c:pt>
                <c:pt idx="5">
                  <c:v>EURUSD</c:v>
                </c:pt>
                <c:pt idx="6">
                  <c:v>GBPUSD</c:v>
                </c:pt>
                <c:pt idx="7">
                  <c:v>USDCHF</c:v>
                </c:pt>
                <c:pt idx="8">
                  <c:v>USDJPY</c:v>
                </c:pt>
              </c:strCache>
            </c:strRef>
          </c:cat>
          <c:val>
            <c:numRef>
              <c:f>Hoja3!$D$3:$D$12</c:f>
              <c:numCache>
                <c:formatCode>General</c:formatCode>
                <c:ptCount val="9"/>
                <c:pt idx="1">
                  <c:v>1</c:v>
                </c:pt>
                <c:pt idx="2">
                  <c:v>1</c:v>
                </c:pt>
                <c:pt idx="3">
                  <c:v>4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AB6-450F-BFC3-916402EA36D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73668992"/>
        <c:axId val="473670072"/>
      </c:barChart>
      <c:catAx>
        <c:axId val="473668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670072"/>
        <c:crosses val="autoZero"/>
        <c:auto val="1"/>
        <c:lblAlgn val="ctr"/>
        <c:lblOffset val="100"/>
        <c:noMultiLvlLbl val="0"/>
      </c:catAx>
      <c:valAx>
        <c:axId val="473670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668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[Diario_Tradingok.xlsx]Hoja4!TablaDinámica4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dias por trade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Hoja4!$B$1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Hoja4!$A$2:$A$7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(en blanco)</c:v>
                </c:pt>
              </c:strCache>
            </c:strRef>
          </c:cat>
          <c:val>
            <c:numRef>
              <c:f>Hoja4!$B$2:$B$7</c:f>
              <c:numCache>
                <c:formatCode>General</c:formatCode>
                <c:ptCount val="5"/>
                <c:pt idx="0">
                  <c:v>13</c:v>
                </c:pt>
                <c:pt idx="1">
                  <c:v>9</c:v>
                </c:pt>
                <c:pt idx="2">
                  <c:v>2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4E-41E5-B690-D34E16DD804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69579832"/>
        <c:axId val="469580192"/>
      </c:barChart>
      <c:catAx>
        <c:axId val="469579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580192"/>
        <c:crosses val="autoZero"/>
        <c:auto val="1"/>
        <c:lblAlgn val="ctr"/>
        <c:lblOffset val="100"/>
        <c:noMultiLvlLbl val="0"/>
      </c:catAx>
      <c:valAx>
        <c:axId val="46958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579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[Diario_Tradingok.xlsx]Hoja5!TablaDinámica5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Hoja5!$B$1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Hoja5!$A$2:$A$32</c:f>
              <c:multiLvlStrCache>
                <c:ptCount val="25"/>
                <c:lvl>
                  <c:pt idx="0">
                    <c:v>-3,29929454344693</c:v>
                  </c:pt>
                  <c:pt idx="1">
                    <c:v>-0,00824491258148837</c:v>
                  </c:pt>
                  <c:pt idx="2">
                    <c:v>0</c:v>
                  </c:pt>
                  <c:pt idx="3">
                    <c:v>2,03749053542442</c:v>
                  </c:pt>
                  <c:pt idx="4">
                    <c:v>2,07431171865461</c:v>
                  </c:pt>
                  <c:pt idx="5">
                    <c:v>2,15061968283341</c:v>
                  </c:pt>
                  <c:pt idx="6">
                    <c:v>2,35615147953542</c:v>
                  </c:pt>
                  <c:pt idx="7">
                    <c:v>2,751455106439</c:v>
                  </c:pt>
                  <c:pt idx="8">
                    <c:v>3,06512844883014</c:v>
                  </c:pt>
                  <c:pt idx="9">
                    <c:v>(en blanco)</c:v>
                  </c:pt>
                  <c:pt idx="10">
                    <c:v>-5,16642150027875</c:v>
                  </c:pt>
                  <c:pt idx="11">
                    <c:v>-2,83155136658853</c:v>
                  </c:pt>
                  <c:pt idx="12">
                    <c:v>1,20237526792319</c:v>
                  </c:pt>
                  <c:pt idx="13">
                    <c:v>2,12779395983433</c:v>
                  </c:pt>
                  <c:pt idx="14">
                    <c:v>2,54760533306852</c:v>
                  </c:pt>
                  <c:pt idx="15">
                    <c:v>3,13609636282432</c:v>
                  </c:pt>
                  <c:pt idx="16">
                    <c:v>4,183957920399</c:v>
                  </c:pt>
                  <c:pt idx="17">
                    <c:v>3,56918092903231</c:v>
                  </c:pt>
                  <c:pt idx="18">
                    <c:v>-0,0148620827503509</c:v>
                  </c:pt>
                  <c:pt idx="19">
                    <c:v>-0,241223881504986</c:v>
                  </c:pt>
                  <c:pt idx="20">
                    <c:v>0</c:v>
                  </c:pt>
                  <c:pt idx="21">
                    <c:v>-6,82178315147962</c:v>
                  </c:pt>
                  <c:pt idx="22">
                    <c:v>0,239625471548943</c:v>
                  </c:pt>
                  <c:pt idx="23">
                    <c:v>0,840644431882379</c:v>
                  </c:pt>
                  <c:pt idx="24">
                    <c:v>0</c:v>
                  </c:pt>
                </c:lvl>
                <c:lvl>
                  <c:pt idx="0">
                    <c:v>0</c:v>
                  </c:pt>
                  <c:pt idx="10">
                    <c:v>1</c:v>
                  </c:pt>
                  <c:pt idx="19">
                    <c:v>2</c:v>
                  </c:pt>
                  <c:pt idx="21">
                    <c:v>3</c:v>
                  </c:pt>
                  <c:pt idx="24">
                    <c:v>(en blanco)</c:v>
                  </c:pt>
                </c:lvl>
              </c:multiLvlStrCache>
            </c:multiLvlStrRef>
          </c:cat>
          <c:val>
            <c:numRef>
              <c:f>Hoja5!$B$2:$B$32</c:f>
              <c:numCache>
                <c:formatCode>General</c:formatCode>
                <c:ptCount val="25"/>
                <c:pt idx="0">
                  <c:v>-3.2992945434469307</c:v>
                </c:pt>
                <c:pt idx="1">
                  <c:v>-8.2449125814883749E-3</c:v>
                </c:pt>
                <c:pt idx="2">
                  <c:v>0</c:v>
                </c:pt>
                <c:pt idx="3">
                  <c:v>2.0374905354244222</c:v>
                </c:pt>
                <c:pt idx="4">
                  <c:v>2.0743117186546112</c:v>
                </c:pt>
                <c:pt idx="5">
                  <c:v>2.1506196828334083</c:v>
                </c:pt>
                <c:pt idx="6">
                  <c:v>2.3561514795354244</c:v>
                </c:pt>
                <c:pt idx="7">
                  <c:v>2.7514551064389954</c:v>
                </c:pt>
                <c:pt idx="8">
                  <c:v>3.0651284488301425</c:v>
                </c:pt>
                <c:pt idx="10">
                  <c:v>-5.1664215002787532</c:v>
                </c:pt>
                <c:pt idx="11">
                  <c:v>-2.8315513665885321</c:v>
                </c:pt>
                <c:pt idx="12">
                  <c:v>1.2023752679231894</c:v>
                </c:pt>
                <c:pt idx="13">
                  <c:v>2.1277939598343329</c:v>
                </c:pt>
                <c:pt idx="14">
                  <c:v>2.5476053330685211</c:v>
                </c:pt>
                <c:pt idx="15">
                  <c:v>3.1360963628243215</c:v>
                </c:pt>
                <c:pt idx="16">
                  <c:v>4.1839579203989974</c:v>
                </c:pt>
                <c:pt idx="17">
                  <c:v>3.5691809290323087</c:v>
                </c:pt>
                <c:pt idx="18">
                  <c:v>-1.4862082750350905E-2</c:v>
                </c:pt>
                <c:pt idx="19">
                  <c:v>-0.24122388150498583</c:v>
                </c:pt>
                <c:pt idx="20">
                  <c:v>0</c:v>
                </c:pt>
                <c:pt idx="21">
                  <c:v>-6.8217831514796163</c:v>
                </c:pt>
                <c:pt idx="22">
                  <c:v>0.2396254715489429</c:v>
                </c:pt>
                <c:pt idx="23">
                  <c:v>0.84064443188237914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E1-4EF4-80B7-17CA6CE07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473844136"/>
        <c:axId val="473843056"/>
      </c:barChart>
      <c:catAx>
        <c:axId val="47384413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843056"/>
        <c:crosses val="autoZero"/>
        <c:auto val="1"/>
        <c:lblAlgn val="ctr"/>
        <c:lblOffset val="100"/>
        <c:noMultiLvlLbl val="0"/>
      </c:catAx>
      <c:valAx>
        <c:axId val="4738430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844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[Diario_Tradingok.xlsx]Hoja7!TablaDinámica1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W/L</a:t>
            </a:r>
            <a:r>
              <a:rPr lang="en-US" baseline="0"/>
              <a:t> %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7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8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Hoja7!$B$1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5F1C-4CFB-9909-FDE9082E4C8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5F1C-4CFB-9909-FDE9082E4C8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5F1C-4CFB-9909-FDE9082E4C8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Hoja7!$A$2:$A$5</c:f>
              <c:strCache>
                <c:ptCount val="3"/>
                <c:pt idx="0">
                  <c:v>Beakeven</c:v>
                </c:pt>
                <c:pt idx="1">
                  <c:v>LOSE</c:v>
                </c:pt>
                <c:pt idx="2">
                  <c:v>WIN</c:v>
                </c:pt>
              </c:strCache>
            </c:strRef>
          </c:cat>
          <c:val>
            <c:numRef>
              <c:f>Hoja7!$B$2:$B$5</c:f>
              <c:numCache>
                <c:formatCode>General</c:formatCode>
                <c:ptCount val="3"/>
                <c:pt idx="0">
                  <c:v>7</c:v>
                </c:pt>
                <c:pt idx="1">
                  <c:v>7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F1C-4CFB-9909-FDE9082E4C8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[Diario_Tradingok.xlsx]Hoja9!TablaDinámica3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Retorno acumulado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Hoja9!$B$1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multiLvlStrRef>
              <c:f>Hoja9!$A$2:$A$18</c:f>
              <c:multiLvlStrCache>
                <c:ptCount val="12"/>
                <c:lvl>
                  <c:pt idx="0">
                    <c:v>(en blanco)</c:v>
                  </c:pt>
                </c:lvl>
                <c:lvl>
                  <c:pt idx="0">
                    <c:v>&lt;10/11/2025</c:v>
                  </c:pt>
                  <c:pt idx="1">
                    <c:v>10-nov</c:v>
                  </c:pt>
                  <c:pt idx="2">
                    <c:v>11-nov</c:v>
                  </c:pt>
                  <c:pt idx="3">
                    <c:v>13-nov</c:v>
                  </c:pt>
                  <c:pt idx="4">
                    <c:v>17-nov</c:v>
                  </c:pt>
                  <c:pt idx="5">
                    <c:v>20-nov</c:v>
                  </c:pt>
                  <c:pt idx="6">
                    <c:v>24-nov</c:v>
                  </c:pt>
                  <c:pt idx="7">
                    <c:v>25-nov</c:v>
                  </c:pt>
                  <c:pt idx="8">
                    <c:v>26-nov</c:v>
                  </c:pt>
                  <c:pt idx="9">
                    <c:v>27-nov</c:v>
                  </c:pt>
                  <c:pt idx="10">
                    <c:v>28-nov</c:v>
                  </c:pt>
                  <c:pt idx="11">
                    <c:v>03-dic</c:v>
                  </c:pt>
                </c:lvl>
                <c:lvl>
                  <c:pt idx="0">
                    <c:v>&lt;10/11/2025</c:v>
                  </c:pt>
                  <c:pt idx="1">
                    <c:v>nov</c:v>
                  </c:pt>
                  <c:pt idx="11">
                    <c:v>dic</c:v>
                  </c:pt>
                </c:lvl>
              </c:multiLvlStrCache>
            </c:multiLvlStrRef>
          </c:cat>
          <c:val>
            <c:numRef>
              <c:f>Hoja9!$B$2:$B$18</c:f>
              <c:numCache>
                <c:formatCode>[$$-540A]#,##0.00</c:formatCode>
                <c:ptCount val="12"/>
                <c:pt idx="0">
                  <c:v>99.14</c:v>
                </c:pt>
                <c:pt idx="1">
                  <c:v>99.379625471548948</c:v>
                </c:pt>
                <c:pt idx="2">
                  <c:v>89.48506707197582</c:v>
                </c:pt>
                <c:pt idx="3">
                  <c:v>86.185772528528886</c:v>
                </c:pt>
                <c:pt idx="4">
                  <c:v>87.026416960411268</c:v>
                </c:pt>
                <c:pt idx="5">
                  <c:v>91.210374880810264</c:v>
                </c:pt>
                <c:pt idx="6">
                  <c:v>99.665988815821422</c:v>
                </c:pt>
                <c:pt idx="7">
                  <c:v>104.49175564091503</c:v>
                </c:pt>
                <c:pt idx="8">
                  <c:v>109.75564596357368</c:v>
                </c:pt>
                <c:pt idx="9">
                  <c:v>112.3032512966422</c:v>
                </c:pt>
                <c:pt idx="10">
                  <c:v>109.48473636331738</c:v>
                </c:pt>
                <c:pt idx="11">
                  <c:v>113.05391729234969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6D-40A0-B4A8-6146CF504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7953176"/>
        <c:axId val="847958216"/>
      </c:lineChart>
      <c:catAx>
        <c:axId val="847953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958216"/>
        <c:crosses val="autoZero"/>
        <c:auto val="1"/>
        <c:lblAlgn val="ctr"/>
        <c:lblOffset val="100"/>
        <c:noMultiLvlLbl val="0"/>
      </c:catAx>
      <c:valAx>
        <c:axId val="847958216"/>
        <c:scaling>
          <c:orientation val="minMax"/>
          <c:min val="7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[$$-540A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953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[Diario_Tradingok.xlsx]Hoja8!TablaDinámica2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Hoja8!$B$1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Hoja8!$A$2:$A$16</c:f>
              <c:multiLvlStrCache>
                <c:ptCount val="12"/>
                <c:lvl>
                  <c:pt idx="1">
                    <c:v>10-nov</c:v>
                  </c:pt>
                  <c:pt idx="2">
                    <c:v>11-nov</c:v>
                  </c:pt>
                  <c:pt idx="3">
                    <c:v>13-nov</c:v>
                  </c:pt>
                  <c:pt idx="4">
                    <c:v>17-nov</c:v>
                  </c:pt>
                  <c:pt idx="5">
                    <c:v>20-nov</c:v>
                  </c:pt>
                  <c:pt idx="6">
                    <c:v>24-nov</c:v>
                  </c:pt>
                  <c:pt idx="7">
                    <c:v>25-nov</c:v>
                  </c:pt>
                  <c:pt idx="8">
                    <c:v>26-nov</c:v>
                  </c:pt>
                  <c:pt idx="9">
                    <c:v>27-nov</c:v>
                  </c:pt>
                  <c:pt idx="10">
                    <c:v>28-nov</c:v>
                  </c:pt>
                  <c:pt idx="11">
                    <c:v>03-dic</c:v>
                  </c:pt>
                </c:lvl>
                <c:lvl>
                  <c:pt idx="0">
                    <c:v>&lt;10/11/2025</c:v>
                  </c:pt>
                  <c:pt idx="1">
                    <c:v>nov</c:v>
                  </c:pt>
                  <c:pt idx="11">
                    <c:v>dic</c:v>
                  </c:pt>
                </c:lvl>
              </c:multiLvlStrCache>
            </c:multiLvlStrRef>
          </c:cat>
          <c:val>
            <c:numRef>
              <c:f>Hoja8!$B$2:$B$16</c:f>
              <c:numCache>
                <c:formatCode>General</c:formatCode>
                <c:ptCount val="12"/>
                <c:pt idx="0">
                  <c:v>0</c:v>
                </c:pt>
                <c:pt idx="1">
                  <c:v>-0.33025057597211527</c:v>
                </c:pt>
                <c:pt idx="2">
                  <c:v>-2.4331640256706256E-3</c:v>
                </c:pt>
                <c:pt idx="3">
                  <c:v>0.16780351733606313</c:v>
                </c:pt>
                <c:pt idx="4">
                  <c:v>5.1514522648546092E-2</c:v>
                </c:pt>
                <c:pt idx="5">
                  <c:v>0.4220252088358884</c:v>
                </c:pt>
                <c:pt idx="6">
                  <c:v>0.74374381620741292</c:v>
                </c:pt>
                <c:pt idx="7">
                  <c:v>0.23698378346767307</c:v>
                </c:pt>
                <c:pt idx="8">
                  <c:v>0.53095524739344913</c:v>
                </c:pt>
                <c:pt idx="9">
                  <c:v>-0.26498497879682481</c:v>
                </c:pt>
                <c:pt idx="10">
                  <c:v>2.3765901548672832E-2</c:v>
                </c:pt>
                <c:pt idx="11">
                  <c:v>0.35851511461387509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9C-4DA1-86C5-4B948C58A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46370608"/>
        <c:axId val="437827896"/>
      </c:barChart>
      <c:catAx>
        <c:axId val="84637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827896"/>
        <c:crosses val="autoZero"/>
        <c:auto val="1"/>
        <c:lblAlgn val="ctr"/>
        <c:lblOffset val="100"/>
        <c:noMultiLvlLbl val="0"/>
      </c:catAx>
      <c:valAx>
        <c:axId val="437827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370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118110</xdr:colOff>
      <xdr:row>0</xdr:row>
      <xdr:rowOff>0</xdr:rowOff>
    </xdr:from>
    <xdr:to>
      <xdr:col>7</xdr:col>
      <xdr:colOff>727710</xdr:colOff>
      <xdr:row>15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37CD72E-BBC3-8B46-51BA-DE41BE00C7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9</xdr:col>
      <xdr:colOff>609600</xdr:colOff>
      <xdr:row>16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20F3A0F-C462-6CC4-FDC4-15C61C54BA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152400</xdr:colOff>
      <xdr:row>1</xdr:row>
      <xdr:rowOff>148590</xdr:rowOff>
    </xdr:from>
    <xdr:to>
      <xdr:col>12</xdr:col>
      <xdr:colOff>396240</xdr:colOff>
      <xdr:row>15</xdr:row>
      <xdr:rowOff>112395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Activo">
              <a:extLst>
                <a:ext uri="{FF2B5EF4-FFF2-40B4-BE49-F238E27FC236}">
                  <a16:creationId xmlns:a16="http://schemas.microsoft.com/office/drawing/2014/main" id="{EB58A488-1B80-5C27-2343-8EBF7C8A2B4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ctiv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05850" y="33147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902970</xdr:colOff>
      <xdr:row>0</xdr:row>
      <xdr:rowOff>0</xdr:rowOff>
    </xdr:from>
    <xdr:to>
      <xdr:col>7</xdr:col>
      <xdr:colOff>560070</xdr:colOff>
      <xdr:row>15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6173788-F0FE-677B-A421-EA5A25B219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1051560</xdr:colOff>
      <xdr:row>0</xdr:row>
      <xdr:rowOff>0</xdr:rowOff>
    </xdr:from>
    <xdr:to>
      <xdr:col>8</xdr:col>
      <xdr:colOff>461010</xdr:colOff>
      <xdr:row>15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C44F89B-0414-F5BE-AFBD-4BC83011E3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9</xdr:col>
      <xdr:colOff>609600</xdr:colOff>
      <xdr:row>16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E0BD510-08DD-5F1C-D194-13928A6DA4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9</xdr:col>
      <xdr:colOff>609600</xdr:colOff>
      <xdr:row>16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CB0AFDB-14FE-74EF-750A-36C26D973F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9</xdr:col>
      <xdr:colOff>609600</xdr:colOff>
      <xdr:row>16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95C429A-F8B4-5A46-C995-E523329954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609600</xdr:colOff>
      <xdr:row>15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21E825B-653C-4BE7-A7B0-2427A90405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583405</xdr:colOff>
      <xdr:row>0</xdr:row>
      <xdr:rowOff>0</xdr:rowOff>
    </xdr:from>
    <xdr:to>
      <xdr:col>12</xdr:col>
      <xdr:colOff>142874</xdr:colOff>
      <xdr:row>15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884EF81-D08A-4030-9030-B0159AF33E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130968</xdr:colOff>
      <xdr:row>0</xdr:row>
      <xdr:rowOff>65484</xdr:rowOff>
    </xdr:from>
    <xdr:to>
      <xdr:col>17</xdr:col>
      <xdr:colOff>785812</xdr:colOff>
      <xdr:row>15</xdr:row>
      <xdr:rowOff>65484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7C3C2E4-E79C-436D-A2F9-AC8BDCC5FB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607219</xdr:colOff>
      <xdr:row>14</xdr:row>
      <xdr:rowOff>119063</xdr:rowOff>
    </xdr:from>
    <xdr:to>
      <xdr:col>12</xdr:col>
      <xdr:colOff>101203</xdr:colOff>
      <xdr:row>29</xdr:row>
      <xdr:rowOff>129778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4898F3AD-B49C-4D7A-A2A5-A4229B6E19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14</xdr:row>
      <xdr:rowOff>130969</xdr:rowOff>
    </xdr:from>
    <xdr:to>
      <xdr:col>5</xdr:col>
      <xdr:colOff>609600</xdr:colOff>
      <xdr:row>29</xdr:row>
      <xdr:rowOff>130969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C5A072C3-DEB3-4EE0-A04E-694660CE0B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</xdr:colOff>
      <xdr:row>29</xdr:row>
      <xdr:rowOff>125016</xdr:rowOff>
    </xdr:from>
    <xdr:to>
      <xdr:col>17</xdr:col>
      <xdr:colOff>785813</xdr:colOff>
      <xdr:row>42</xdr:row>
      <xdr:rowOff>147637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3D3FFFFB-0222-4FFB-8264-75451141CD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83344</xdr:colOff>
      <xdr:row>15</xdr:row>
      <xdr:rowOff>29766</xdr:rowOff>
    </xdr:from>
    <xdr:to>
      <xdr:col>17</xdr:col>
      <xdr:colOff>785812</xdr:colOff>
      <xdr:row>30</xdr:row>
      <xdr:rowOff>4763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FDD7491E-AB18-4EA4-A2A0-89052A5CFE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d Pineda" refreshedDate="45995.269685879626" createdVersion="8" refreshedVersion="8" minRefreshableVersion="3" recordCount="28" xr:uid="{4246EA49-992B-4C22-977F-5E1E8D5D50E0}">
  <cacheSource type="worksheet">
    <worksheetSource name="Tabla2"/>
  </cacheSource>
  <cacheFields count="30">
    <cacheField name="Fecha Entrada" numFmtId="0">
      <sharedItems containsNonDate="0" containsDate="1" containsString="0" containsBlank="1" minDate="2025-11-10T00:00:00" maxDate="2025-12-04T00:00:00" count="12">
        <d v="2025-11-10T00:00:00"/>
        <m/>
        <d v="2025-11-11T00:00:00"/>
        <d v="2025-11-17T00:00:00"/>
        <d v="2025-11-13T00:00:00"/>
        <d v="2025-11-20T00:00:00"/>
        <d v="2025-11-24T00:00:00"/>
        <d v="2025-11-25T00:00:00"/>
        <d v="2025-11-26T00:00:00"/>
        <d v="2025-11-27T00:00:00"/>
        <d v="2025-11-28T00:00:00"/>
        <d v="2025-12-03T00:00:00"/>
      </sharedItems>
      <fieldGroup par="29"/>
    </cacheField>
    <cacheField name="Hora Entrada" numFmtId="0">
      <sharedItems containsNonDate="0" containsString="0" containsBlank="1"/>
    </cacheField>
    <cacheField name="Activo" numFmtId="0">
      <sharedItems count="9">
        <s v="EURAUD"/>
        <s v="AUDCAD"/>
        <s v="USDCHF"/>
        <s v="AUDUSD"/>
        <s v="GBPUSD"/>
        <s v="CHFJPY"/>
        <s v="USDJPY"/>
        <s v="CADCHF"/>
        <s v="EURUSD"/>
      </sharedItems>
    </cacheField>
    <cacheField name="Fractales" numFmtId="0">
      <sharedItems/>
    </cacheField>
    <cacheField name="Observaciones" numFmtId="0">
      <sharedItems containsNonDate="0" containsString="0" containsBlank="1"/>
    </cacheField>
    <cacheField name="ENTRADA" numFmtId="0">
      <sharedItems/>
    </cacheField>
    <cacheField name="Precio Entrada" numFmtId="0">
      <sharedItems containsSemiMixedTypes="0" containsString="0" containsNumber="1" minValue="0.57352999999999998" maxValue="195.249"/>
    </cacheField>
    <cacheField name="SL (%)" numFmtId="0">
      <sharedItems containsSemiMixedTypes="0" containsString="0" containsNumber="1" minValue="-5.2112381483546029E-2" maxValue="5.3967619428342883E-2"/>
    </cacheField>
    <cacheField name="TP (%)" numFmtId="0">
      <sharedItems containsSemiMixedTypes="0" containsString="0" containsNumber="1" minValue="-0.2739066525308701" maxValue="0.19427260182644043"/>
    </cacheField>
    <cacheField name="riesgo/beneficio" numFmtId="0">
      <sharedItems containsSemiMixedTypes="0" containsString="0" containsNumber="1" minValue="1.5016722408027052" maxValue="6.9184993531694863"/>
    </cacheField>
    <cacheField name="Unidades" numFmtId="0">
      <sharedItems containsSemiMixedTypes="0" containsString="0" containsNumber="1" minValue="8.9220299170989278E-3" maxValue="10.213670338313415"/>
    </cacheField>
    <cacheField name="TIEMPO" numFmtId="0">
      <sharedItems containsString="0" containsBlank="1" containsNumber="1" containsInteger="1" minValue="5" maxValue="5"/>
    </cacheField>
    <cacheField name="SL Precio" numFmtId="0">
      <sharedItems containsSemiMixedTypes="0" containsString="0" containsNumber="1" minValue="0.57508000000000004" maxValue="196.02199999999999"/>
    </cacheField>
    <cacheField name="TP Precio" numFmtId="0">
      <sharedItems containsSemiMixedTypes="0" containsString="0" containsNumber="1" minValue="0.56927000000000005" maxValue="192.852"/>
    </cacheField>
    <cacheField name="Precio  Actual " numFmtId="0">
      <sharedItems containsString="0" containsBlank="1" containsNumber="1" minValue="0.91642999999999997" maxValue="194.26900000000001"/>
    </cacheField>
    <cacheField name="Trailing stop" numFmtId="0">
      <sharedItems containsBlank="1" containsMixedTypes="1" containsNumber="1" minValue="0" maxValue="195.24034500000002"/>
    </cacheField>
    <cacheField name="Precio cierre" numFmtId="0">
      <sharedItems containsString="0" containsBlank="1" containsNumber="1" minValue="0.57233000000000001" maxValue="194.42500000000001"/>
    </cacheField>
    <cacheField name="Tamaño ($)" numFmtId="0">
      <sharedItems containsSemiMixedTypes="0" containsString="0" containsNumber="1" minValue="1.5216250598736181" maxValue="5.3503497901259136"/>
    </cacheField>
    <cacheField name="Resultado " numFmtId="0">
      <sharedItems count="3">
        <s v="Beakeven"/>
        <s v="WIN"/>
        <s v="LOSE"/>
      </sharedItems>
    </cacheField>
    <cacheField name="Fecha Cierre" numFmtId="0">
      <sharedItems containsNonDate="0" containsDate="1" containsString="0" containsBlank="1" minDate="2025-11-11T00:00:00" maxDate="2025-12-05T00:00:00"/>
    </cacheField>
    <cacheField name="Hora Cierre" numFmtId="0">
      <sharedItems containsNonDate="0" containsString="0" containsBlank="1"/>
    </cacheField>
    <cacheField name="Motivo Cierre" numFmtId="0">
      <sharedItems containsBlank="1"/>
    </cacheField>
    <cacheField name="% Retorno" numFmtId="0">
      <sharedItems containsSemiMixedTypes="0" containsString="0" containsNumber="1" minValue="-0.52112381483546033" maxValue="0.4220252088358884"/>
    </cacheField>
    <cacheField name="$ Retorno" numFmtId="164">
      <sharedItems containsString="0" containsBlank="1" containsNumber="1" minValue="-6.8217831514796163" maxValue="4.1839579203989974" count="23">
        <n v="0"/>
        <n v="0.2396254715489429"/>
        <n v="-6.8217831514796163"/>
        <n v="-2.8315513665885321"/>
        <n v="-0.24122388150498583"/>
        <n v="-3.2992945434469307"/>
        <m/>
        <n v="0.84064443188237914"/>
        <n v="4.1839579203989974"/>
        <n v="3.0651284488301425"/>
        <n v="1.2023752679231894"/>
        <n v="2.1506196828334083"/>
        <n v="2.0374905354244222"/>
        <n v="2.0743117186546112"/>
        <n v="2.7514551064389954"/>
        <n v="2.1277939598343329"/>
        <n v="3.1360963628243215"/>
        <n v="2.5476053330685211"/>
        <n v="-5.1664215002787532"/>
        <n v="-8.2449125814883749E-3"/>
        <n v="2.3561514795354244"/>
        <n v="3.5691809290323087"/>
        <n v="-1.4862082750350905E-2"/>
      </sharedItems>
    </cacheField>
    <cacheField name="factor" numFmtId="2">
      <sharedItems containsString="0" containsBlank="1" containsNumber="1" containsInteger="1" minValue="1" maxValue="10"/>
    </cacheField>
    <cacheField name="Indicacion" numFmtId="0">
      <sharedItems containsBlank="1"/>
    </cacheField>
    <cacheField name="Observaciones2" numFmtId="0">
      <sharedItems containsNonDate="0" containsString="0" containsBlank="1"/>
    </cacheField>
    <cacheField name="DIAS" numFmtId="0">
      <sharedItems containsString="0" containsBlank="1" containsNumber="1" containsInteger="1" minValue="0" maxValue="3" count="5">
        <m/>
        <n v="0"/>
        <n v="3"/>
        <n v="1"/>
        <n v="2"/>
      </sharedItems>
    </cacheField>
    <cacheField name="Días (Fecha Entrada)" numFmtId="0" databaseField="0">
      <fieldGroup base="0">
        <rangePr groupBy="days" startDate="2025-11-10T00:00:00" endDate="2025-12-04T00:00:00"/>
        <groupItems count="368">
          <s v="&lt;10/11/2025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04/12/2025"/>
        </groupItems>
      </fieldGroup>
    </cacheField>
    <cacheField name="Meses (Fecha Entrada)" numFmtId="0" databaseField="0">
      <fieldGroup base="0">
        <rangePr groupBy="months" startDate="2025-11-10T00:00:00" endDate="2025-12-04T00:00:00"/>
        <groupItems count="14">
          <s v="&lt;10/11/2025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4/12/2025"/>
        </groupItems>
      </fieldGroup>
    </cacheField>
  </cacheFields>
  <extLst>
    <ext xmlns:x14="http://schemas.microsoft.com/office/spreadsheetml/2009/9/main" uri="{725AE2AE-9491-48be-B2B4-4EB974FC3084}">
      <x14:pivotCacheDefinition pivotCacheId="2052775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d Pineda" refreshedDate="45995.281302777781" createdVersion="8" refreshedVersion="8" minRefreshableVersion="3" recordCount="28" xr:uid="{45C7EB1E-E554-442B-A5AA-16B6B191FBEA}">
  <cacheSource type="worksheet">
    <worksheetSource ref="A2:AC30" sheet="nuevaok"/>
  </cacheSource>
  <cacheFields count="31">
    <cacheField name="Fecha Entrada" numFmtId="0">
      <sharedItems containsNonDate="0" containsDate="1" containsString="0" containsBlank="1" minDate="2025-11-10T00:00:00" maxDate="2025-12-04T00:00:00" count="12">
        <d v="2025-11-10T00:00:00"/>
        <m/>
        <d v="2025-11-11T00:00:00"/>
        <d v="2025-11-17T00:00:00"/>
        <d v="2025-11-13T00:00:00"/>
        <d v="2025-11-20T00:00:00"/>
        <d v="2025-11-24T00:00:00"/>
        <d v="2025-11-25T00:00:00"/>
        <d v="2025-11-26T00:00:00"/>
        <d v="2025-11-27T00:00:00"/>
        <d v="2025-11-28T00:00:00"/>
        <d v="2025-12-03T00:00:00"/>
      </sharedItems>
      <fieldGroup par="30"/>
    </cacheField>
    <cacheField name="Hora Entrada" numFmtId="0">
      <sharedItems containsNonDate="0" containsString="0" containsBlank="1"/>
    </cacheField>
    <cacheField name="Activo" numFmtId="0">
      <sharedItems/>
    </cacheField>
    <cacheField name="Fractales" numFmtId="0">
      <sharedItems/>
    </cacheField>
    <cacheField name="Observaciones" numFmtId="0">
      <sharedItems containsNonDate="0" containsString="0" containsBlank="1"/>
    </cacheField>
    <cacheField name="ENTRADA" numFmtId="0">
      <sharedItems/>
    </cacheField>
    <cacheField name="Precio Entrada" numFmtId="0">
      <sharedItems containsSemiMixedTypes="0" containsString="0" containsNumber="1" minValue="0.57352999999999998" maxValue="195.249"/>
    </cacheField>
    <cacheField name="SL (%)" numFmtId="0">
      <sharedItems containsSemiMixedTypes="0" containsString="0" containsNumber="1" minValue="-5.2112381483546029E-2" maxValue="5.3967619428342883E-2"/>
    </cacheField>
    <cacheField name="TP (%)" numFmtId="0">
      <sharedItems containsSemiMixedTypes="0" containsString="0" containsNumber="1" minValue="-0.2739066525308701" maxValue="0.19427260182644043"/>
    </cacheField>
    <cacheField name="riesgo/beneficio" numFmtId="0">
      <sharedItems containsSemiMixedTypes="0" containsString="0" containsNumber="1" minValue="1.5016722408027052" maxValue="6.9184993531694863"/>
    </cacheField>
    <cacheField name="Unidades" numFmtId="0">
      <sharedItems containsSemiMixedTypes="0" containsString="0" containsNumber="1" minValue="8.9220299170989278E-3" maxValue="10.213670338313415"/>
    </cacheField>
    <cacheField name="TIEMPO" numFmtId="0">
      <sharedItems containsString="0" containsBlank="1" containsNumber="1" containsInteger="1" minValue="5" maxValue="5"/>
    </cacheField>
    <cacheField name="SL Precio" numFmtId="0">
      <sharedItems containsSemiMixedTypes="0" containsString="0" containsNumber="1" minValue="0.57508000000000004" maxValue="196.02199999999999"/>
    </cacheField>
    <cacheField name="TP Precio" numFmtId="0">
      <sharedItems containsSemiMixedTypes="0" containsString="0" containsNumber="1" minValue="0.56927000000000005" maxValue="192.852"/>
    </cacheField>
    <cacheField name="Precio  Actual " numFmtId="0">
      <sharedItems containsString="0" containsBlank="1" containsNumber="1" minValue="0.91642999999999997" maxValue="194.26900000000001"/>
    </cacheField>
    <cacheField name="Trailing stop" numFmtId="0">
      <sharedItems containsBlank="1" containsMixedTypes="1" containsNumber="1" minValue="0" maxValue="195.24034500000002"/>
    </cacheField>
    <cacheField name="Precio cierre" numFmtId="0">
      <sharedItems containsString="0" containsBlank="1" containsNumber="1" minValue="0.57233000000000001" maxValue="194.42500000000001"/>
    </cacheField>
    <cacheField name="Tamaño ($)" numFmtId="0">
      <sharedItems containsSemiMixedTypes="0" containsString="0" containsNumber="1" minValue="1.5216250598736181" maxValue="5.3503497901259136"/>
    </cacheField>
    <cacheField name="Resultado " numFmtId="0">
      <sharedItems/>
    </cacheField>
    <cacheField name="Fecha Cierre" numFmtId="0">
      <sharedItems containsNonDate="0" containsDate="1" containsString="0" containsBlank="1" minDate="2025-11-11T00:00:00" maxDate="2025-12-05T00:00:00"/>
    </cacheField>
    <cacheField name="Hora Cierre" numFmtId="0">
      <sharedItems containsNonDate="0" containsString="0" containsBlank="1"/>
    </cacheField>
    <cacheField name="Motivo Cierre" numFmtId="0">
      <sharedItems containsBlank="1"/>
    </cacheField>
    <cacheField name="% Retorno" numFmtId="0">
      <sharedItems containsSemiMixedTypes="0" containsString="0" containsNumber="1" minValue="-0.52112381483546033" maxValue="0.4220252088358884"/>
    </cacheField>
    <cacheField name="$ Retorno" numFmtId="164">
      <sharedItems containsString="0" containsBlank="1" containsNumber="1" minValue="-6.8217831514796163" maxValue="4.1839579203989974"/>
    </cacheField>
    <cacheField name="factor" numFmtId="2">
      <sharedItems containsString="0" containsBlank="1" containsNumber="1" containsInteger="1" minValue="1" maxValue="10"/>
    </cacheField>
    <cacheField name="Indicacion" numFmtId="0">
      <sharedItems containsBlank="1"/>
    </cacheField>
    <cacheField name="Observaciones2" numFmtId="0">
      <sharedItems containsNonDate="0" containsString="0" containsBlank="1"/>
    </cacheField>
    <cacheField name="DIAS" numFmtId="0">
      <sharedItems containsString="0" containsBlank="1" containsNumber="1" containsInteger="1" minValue="0" maxValue="3"/>
    </cacheField>
    <cacheField name="ACUMULADO" numFmtId="164">
      <sharedItems containsSemiMixedTypes="0" containsString="0" containsNumber="1" minValue="86.185772528528886" maxValue="113.05391729234969"/>
    </cacheField>
    <cacheField name="Días (Fecha Entrada)" numFmtId="0" databaseField="0">
      <fieldGroup base="0">
        <rangePr groupBy="days" startDate="2025-11-10T00:00:00" endDate="2025-12-04T00:00:00"/>
        <groupItems count="368">
          <s v="&lt;10/11/2025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04/12/2025"/>
        </groupItems>
      </fieldGroup>
    </cacheField>
    <cacheField name="Meses (Fecha Entrada)" numFmtId="0" databaseField="0">
      <fieldGroup base="0">
        <rangePr groupBy="months" startDate="2025-11-10T00:00:00" endDate="2025-12-04T00:00:00"/>
        <groupItems count="14">
          <s v="&lt;10/11/2025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4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m/>
    <x v="0"/>
    <s v="UP"/>
    <m/>
    <s v="UP"/>
    <n v="1.7707599999999999"/>
    <n v="1.9200795138809595E-2"/>
    <n v="0.12435338498723797"/>
    <n v="6.4764705882356282"/>
    <n v="1.2280688381337725"/>
    <n v="5"/>
    <n v="1.76736"/>
    <n v="1.79278"/>
    <m/>
    <s v=""/>
    <m/>
    <n v="1.9035668300615833"/>
    <x v="0"/>
    <m/>
    <m/>
    <m/>
    <n v="0"/>
    <x v="0"/>
    <n v="10"/>
    <s v="MANTENER"/>
    <m/>
    <x v="0"/>
  </r>
  <r>
    <x v="1"/>
    <m/>
    <x v="1"/>
    <s v="DOWN"/>
    <m/>
    <s v="DOWN"/>
    <n v="0.91556999999999999"/>
    <n v="-2.8725274965322383E-2"/>
    <n v="-8.3772950184037867E-2"/>
    <n v="2.9163498098858907"/>
    <n v="3.5363514950076218"/>
    <n v="5"/>
    <n v="0.91820000000000002"/>
    <n v="0.90790000000000004"/>
    <m/>
    <n v="0"/>
    <m/>
    <n v="2.8478237600620613"/>
    <x v="0"/>
    <m/>
    <m/>
    <m/>
    <n v="0"/>
    <x v="0"/>
    <n v="1"/>
    <s v="MANTENER"/>
    <m/>
    <x v="1"/>
  </r>
  <r>
    <x v="1"/>
    <m/>
    <x v="2"/>
    <s v="DOWN"/>
    <m/>
    <s v="DOWN"/>
    <n v="0.80528999999999995"/>
    <n v="-2.8561139465286791E-2"/>
    <n v="-0.12927020079722734"/>
    <n v="4.5260869565215476"/>
    <n v="3.9977268426622667"/>
    <n v="5"/>
    <n v="0.80759000000000003"/>
    <n v="0.79488000000000003"/>
    <m/>
    <n v="0"/>
    <m/>
    <n v="2.8315513665885326"/>
    <x v="0"/>
    <m/>
    <m/>
    <m/>
    <n v="0"/>
    <x v="0"/>
    <n v="10"/>
    <s v="MANTENER"/>
    <m/>
    <x v="1"/>
  </r>
  <r>
    <x v="1"/>
    <m/>
    <x v="3"/>
    <s v="UP"/>
    <m/>
    <s v="buy limit"/>
    <n v="0.64973000000000003"/>
    <n v="4.3864374432456846E-2"/>
    <n v="0.18977113570252183"/>
    <n v="4.3263157894736386"/>
    <n v="7.6650807618183086"/>
    <n v="5"/>
    <n v="0.64688000000000001"/>
    <n v="0.66205999999999998"/>
    <m/>
    <s v=""/>
    <m/>
    <n v="4.3487140812337719"/>
    <x v="0"/>
    <m/>
    <m/>
    <m/>
    <n v="0"/>
    <x v="0"/>
    <n v="1"/>
    <s v="MANTENER"/>
    <m/>
    <x v="1"/>
  </r>
  <r>
    <x v="0"/>
    <m/>
    <x v="0"/>
    <s v="UP"/>
    <m/>
    <s v="UP"/>
    <n v="1.7707599999999999"/>
    <n v="1.9200795138809595E-2"/>
    <n v="0.12435338498723797"/>
    <n v="6.4764705882356282"/>
    <n v="1.2280688381337725"/>
    <n v="5"/>
    <n v="1.76736"/>
    <n v="1.79278"/>
    <n v="1.7699199999999999"/>
    <s v=""/>
    <n v="1.77504"/>
    <n v="1.9035668300615833"/>
    <x v="1"/>
    <d v="2025-11-13T00:00:00"/>
    <m/>
    <m/>
    <n v="2.417041270414998E-2"/>
    <x v="1"/>
    <n v="10"/>
    <s v="MANTENER"/>
    <m/>
    <x v="2"/>
  </r>
  <r>
    <x v="0"/>
    <m/>
    <x v="1"/>
    <s v="DOWN"/>
    <m/>
    <s v="DOWN"/>
    <n v="0.91556999999999999"/>
    <n v="-2.8725274965322383E-2"/>
    <n v="-8.3772950184037867E-2"/>
    <n v="2.9163498098858907"/>
    <n v="3.5363514950076218"/>
    <n v="5"/>
    <n v="0.91820000000000002"/>
    <n v="0.90790000000000004"/>
    <n v="0.91642999999999997"/>
    <s v=""/>
    <n v="0.91620000000000001"/>
    <n v="2.8478237600620613"/>
    <x v="2"/>
    <d v="2025-11-13T00:00:00"/>
    <m/>
    <m/>
    <n v="-6.8809594023397383E-2"/>
    <x v="2"/>
    <n v="1"/>
    <s v="MANTENER"/>
    <m/>
    <x v="2"/>
  </r>
  <r>
    <x v="0"/>
    <m/>
    <x v="2"/>
    <s v="DOWN"/>
    <m/>
    <s v="DOWN"/>
    <n v="0.80528999999999995"/>
    <n v="-2.8561139465286791E-2"/>
    <n v="-0.12927020079722734"/>
    <n v="4.5260869565215476"/>
    <n v="3.9977268426622667"/>
    <n v="5"/>
    <n v="0.80759000000000003"/>
    <n v="0.79488000000000003"/>
    <m/>
    <n v="0"/>
    <n v="0.80759000000000003"/>
    <n v="2.8315513665885326"/>
    <x v="2"/>
    <d v="2025-11-11T00:00:00"/>
    <m/>
    <s v="SL"/>
    <n v="-0.28561139465286789"/>
    <x v="3"/>
    <n v="10"/>
    <s v="MANTENER"/>
    <m/>
    <x v="3"/>
  </r>
  <r>
    <x v="1"/>
    <m/>
    <x v="3"/>
    <s v="UP"/>
    <m/>
    <s v="buy limit"/>
    <n v="0.64973000000000003"/>
    <n v="4.3864374432456846E-2"/>
    <n v="0.18977113570252183"/>
    <n v="4.3263157894736386"/>
    <n v="7.6650807618183086"/>
    <n v="5"/>
    <n v="0.64688000000000001"/>
    <n v="0.66205999999999998"/>
    <m/>
    <s v=""/>
    <m/>
    <n v="4.3487140812337719"/>
    <x v="0"/>
    <m/>
    <m/>
    <m/>
    <n v="0"/>
    <x v="0"/>
    <n v="1"/>
    <s v="MANTENER"/>
    <m/>
    <x v="1"/>
  </r>
  <r>
    <x v="2"/>
    <m/>
    <x v="4"/>
    <s v="UP"/>
    <m/>
    <s v="UP"/>
    <n v="1.3151600000000001"/>
    <n v="5.1628699169683337E-2"/>
    <n v="0.17549195535144002"/>
    <n v="3.3991163475699167"/>
    <n v="4.4605573162344214"/>
    <n v="5"/>
    <n v="1.30837"/>
    <n v="1.3382400000000001"/>
    <n v="1.3109"/>
    <s v=""/>
    <n v="1.31484"/>
    <n v="5.1184692356824062"/>
    <x v="2"/>
    <d v="2025-11-13T00:00:00"/>
    <m/>
    <m/>
    <n v="-2.4331640256706256E-3"/>
    <x v="4"/>
    <n v="1"/>
    <s v="MANTENER"/>
    <m/>
    <x v="4"/>
  </r>
  <r>
    <x v="3"/>
    <m/>
    <x v="3"/>
    <s v="UP"/>
    <m/>
    <s v="UP"/>
    <n v="0.65205999999999997"/>
    <n v="3.3432506211084255E-2"/>
    <n v="0.14875931662730488"/>
    <n v="4.4495412844037707"/>
    <n v="5.8151949827507012"/>
    <n v="5"/>
    <n v="0.64988000000000001"/>
    <n v="0.66176000000000001"/>
    <m/>
    <s v=""/>
    <n v="0.64988999999999997"/>
    <n v="3.3144986657668931"/>
    <x v="2"/>
    <d v="2025-11-17T00:00:00"/>
    <m/>
    <s v="SL"/>
    <n v="-3.3279146090850621E-2"/>
    <x v="5"/>
    <n v="1"/>
    <s v="MANTENER"/>
    <m/>
    <x v="1"/>
  </r>
  <r>
    <x v="4"/>
    <m/>
    <x v="1"/>
    <s v="DOWN"/>
    <m/>
    <s v="DOWN"/>
    <n v="0.91774"/>
    <n v="-1.5908645150042679E-2"/>
    <n v="-3.4105520081940045E-2"/>
    <n v="2.1438356164383081"/>
    <n v="1.9563731695230624"/>
    <m/>
    <n v="0.91920000000000002"/>
    <n v="0.91461000000000003"/>
    <m/>
    <n v="0"/>
    <n v="0.91620000000000001"/>
    <n v="1.5771830801752311"/>
    <x v="0"/>
    <d v="2025-11-13T00:00:00"/>
    <m/>
    <m/>
    <n v="0.16780351733606313"/>
    <x v="6"/>
    <m/>
    <m/>
    <m/>
    <x v="1"/>
  </r>
  <r>
    <x v="3"/>
    <m/>
    <x v="5"/>
    <s v="DOWN"/>
    <m/>
    <s v="DOWN"/>
    <n v="194.59"/>
    <n v="-5.1852613186699523E-2"/>
    <n v="-0.2409681895266968"/>
    <n v="4.6471754212091758"/>
    <n v="2.996625956560783E-2"/>
    <n v="5"/>
    <n v="195.59899999999999"/>
    <n v="189.90100000000001"/>
    <n v="194.26900000000001"/>
    <n v="195.24034500000002"/>
    <n v="194.42500000000001"/>
    <n v="5.1406680713293911"/>
    <x v="1"/>
    <d v="2025-11-20T00:00:00"/>
    <m/>
    <m/>
    <n v="8.4793668739396713E-2"/>
    <x v="7"/>
    <n v="10"/>
    <s v="MANTENER"/>
    <m/>
    <x v="2"/>
  </r>
  <r>
    <x v="3"/>
    <m/>
    <x v="4"/>
    <s v="DOWN"/>
    <m/>
    <s v="DOWN"/>
    <n v="1.3184100000000001"/>
    <n v="-3.0794669336548966E-2"/>
    <n v="-7.4711205163796812E-2"/>
    <n v="2.4261083743842984"/>
    <n v="2.632196062894065"/>
    <n v="5"/>
    <n v="1.32247"/>
    <n v="1.3085599999999999"/>
    <n v="1.3147"/>
    <n v="1.3212735"/>
    <m/>
    <n v="3.0529835180254645"/>
    <x v="0"/>
    <d v="2025-11-19T00:00:00"/>
    <m/>
    <m/>
    <n v="0"/>
    <x v="0"/>
    <n v="1"/>
    <s v="MANTENER"/>
    <m/>
    <x v="4"/>
  </r>
  <r>
    <x v="5"/>
    <m/>
    <x v="5"/>
    <s v="DOWN"/>
    <m/>
    <s v="DOWN"/>
    <n v="195.249"/>
    <n v="-3.9590471654143991E-2"/>
    <n v="-0.2739066525308701"/>
    <n v="6.9184993531694863"/>
    <n v="2.2830445108645254E-2"/>
    <n v="5"/>
    <n v="196.02199999999999"/>
    <n v="189.90100000000001"/>
    <m/>
    <m/>
    <n v="194.42500000000001"/>
    <n v="3.9249993597918351"/>
    <x v="1"/>
    <d v="2025-11-21T00:00:00"/>
    <m/>
    <m/>
    <n v="0.4220252088358884"/>
    <x v="8"/>
    <n v="10"/>
    <m/>
    <m/>
    <x v="3"/>
  </r>
  <r>
    <x v="6"/>
    <m/>
    <x v="0"/>
    <s v="DOWN"/>
    <m/>
    <s v="DOWN"/>
    <n v="1.7886500000000001"/>
    <n v="-2.9351745730019717E-2"/>
    <n v="-0.13132809660917458"/>
    <n v="4.4742857142857364"/>
    <n v="1.8495421183309106"/>
    <n v="5"/>
    <n v="1.7939000000000001"/>
    <n v="1.7651600000000001"/>
    <m/>
    <m/>
    <n v="1.78312"/>
    <n v="2.9099320716741546"/>
    <x v="1"/>
    <d v="2025-11-24T00:00:00"/>
    <m/>
    <m/>
    <n v="0.30917172168954432"/>
    <x v="9"/>
    <n v="10"/>
    <m/>
    <m/>
    <x v="1"/>
  </r>
  <r>
    <x v="6"/>
    <m/>
    <x v="4"/>
    <s v="UP"/>
    <m/>
    <s v="UP"/>
    <n v="1.31101"/>
    <n v="2.2883120647440629E-2"/>
    <n v="8.4286161051403144E-2"/>
    <n v="3.6833333333331946"/>
    <n v="1.9775738245380112"/>
    <n v="5"/>
    <n v="1.3080099999999999"/>
    <n v="1.32206"/>
    <m/>
    <m/>
    <n v="1.3126"/>
    <n v="2.2686325809872638"/>
    <x v="1"/>
    <d v="2025-11-25T00:00:00"/>
    <m/>
    <m/>
    <n v="1.2128053943142923E-2"/>
    <x v="10"/>
    <n v="1"/>
    <m/>
    <m/>
    <x v="3"/>
  </r>
  <r>
    <x v="6"/>
    <m/>
    <x v="5"/>
    <s v="DOWN"/>
    <m/>
    <s v="DOWN"/>
    <n v="194.535"/>
    <n v="-4.2614439561004844E-2"/>
    <n v="-0.23820906263654285"/>
    <n v="5.5898673100119938"/>
    <n v="2.4657029884024489E-2"/>
    <n v="5"/>
    <n v="195.364"/>
    <n v="189.90100000000001"/>
    <m/>
    <m/>
    <n v="194.113"/>
    <n v="4.2247955380780207"/>
    <x v="1"/>
    <d v="2025-11-24T00:00:00"/>
    <m/>
    <m/>
    <n v="0.21692754517181848"/>
    <x v="11"/>
    <n v="10"/>
    <m/>
    <m/>
    <x v="1"/>
  </r>
  <r>
    <x v="6"/>
    <m/>
    <x v="6"/>
    <s v="DOWN"/>
    <m/>
    <s v="DOWN"/>
    <n v="157.16499999999999"/>
    <n v="-4.0339770305094301E-2"/>
    <n v="-0.19718130627047942"/>
    <n v="4.8880126182964014"/>
    <n v="2.8897328390294682E-2"/>
    <n v="5"/>
    <n v="157.79900000000001"/>
    <n v="154.066"/>
    <m/>
    <m/>
    <n v="156.84200000000001"/>
    <n v="3.999284828047049"/>
    <x v="1"/>
    <d v="2025-11-24T00:00:00"/>
    <m/>
    <m/>
    <n v="0.2055164954029072"/>
    <x v="12"/>
    <n v="10"/>
    <m/>
    <m/>
    <x v="1"/>
  </r>
  <r>
    <x v="7"/>
    <m/>
    <x v="7"/>
    <s v="DOWN"/>
    <m/>
    <s v="DOWN"/>
    <n v="0.57352999999999998"/>
    <n v="-2.702561330706417E-2"/>
    <n v="-7.4276846895540441E-2"/>
    <n v="2.7483870967740578"/>
    <n v="5.3122170736080356"/>
    <n v="5"/>
    <n v="0.57508000000000004"/>
    <n v="0.56927000000000005"/>
    <m/>
    <m/>
    <n v="0.57233000000000001"/>
    <n v="2.6793193032623419"/>
    <x v="1"/>
    <d v="2025-11-25T00:00:00"/>
    <m/>
    <m/>
    <n v="0.20923055463532492"/>
    <x v="13"/>
    <n v="10"/>
    <m/>
    <m/>
    <x v="1"/>
  </r>
  <r>
    <x v="7"/>
    <m/>
    <x v="3"/>
    <s v="UP"/>
    <m/>
    <s v="UP"/>
    <n v="0.64497000000000004"/>
    <n v="4.4188101772175747E-2"/>
    <n v="0.19427260182644043"/>
    <n v="4.3964912280701212"/>
    <n v="7.7788906681498293"/>
    <n v="5"/>
    <n v="0.64212000000000002"/>
    <n v="0.65749999999999997"/>
    <m/>
    <m/>
    <n v="0.64676"/>
    <n v="4.380808409693504"/>
    <x v="1"/>
    <d v="2025-11-25T00:00:00"/>
    <m/>
    <m/>
    <n v="2.7753228832348147E-2"/>
    <x v="14"/>
    <n v="1"/>
    <m/>
    <m/>
    <x v="1"/>
  </r>
  <r>
    <x v="8"/>
    <m/>
    <x v="6"/>
    <s v="DOWN"/>
    <m/>
    <s v="DOWN"/>
    <n v="156.55199999999999"/>
    <n v="-3.0980121620931937E-2"/>
    <n v="-0.15879707700955531"/>
    <n v="5.1257731958761239"/>
    <n v="2.2300245663815707E-2"/>
    <m/>
    <n v="157.03700000000001"/>
    <n v="154.066"/>
    <m/>
    <m/>
    <n v="156.21600000000001"/>
    <n v="3.0713692574991924"/>
    <x v="1"/>
    <d v="2025-11-27T00:00:00"/>
    <m/>
    <m/>
    <n v="0.21462517246664645"/>
    <x v="15"/>
    <n v="10"/>
    <m/>
    <m/>
    <x v="3"/>
  </r>
  <r>
    <x v="8"/>
    <m/>
    <x v="2"/>
    <s v="DOWN"/>
    <m/>
    <s v="DOWN"/>
    <n v="0.80611999999999995"/>
    <n v="-2.9896293355828208E-2"/>
    <n v="-8.6463553813327071E-2"/>
    <n v="2.8921161825725537"/>
    <n v="4.1797444191456634"/>
    <m/>
    <n v="0.80852999999999997"/>
    <n v="0.79915000000000003"/>
    <m/>
    <m/>
    <n v="0.80357000000000001"/>
    <n v="2.9639185232968086"/>
    <x v="1"/>
    <d v="2025-11-27T00:00:00"/>
    <m/>
    <m/>
    <n v="0.31633007492680265"/>
    <x v="16"/>
    <n v="10"/>
    <m/>
    <m/>
    <x v="3"/>
  </r>
  <r>
    <x v="9"/>
    <m/>
    <x v="2"/>
    <s v="DOWN"/>
    <m/>
    <s v="DOWN"/>
    <n v="0.80554000000000003"/>
    <n v="-3.5504133872929632E-2"/>
    <n v="-0.16225140899272569"/>
    <n v="4.5699300699301215"/>
    <n v="4.9645642615426757"/>
    <m/>
    <n v="0.80840000000000001"/>
    <n v="0.79247000000000001"/>
    <m/>
    <m/>
    <n v="0.80347000000000002"/>
    <n v="3.5198798321622435"/>
    <x v="1"/>
    <d v="2025-11-28T00:00:00"/>
    <m/>
    <m/>
    <n v="0.25697047942994966"/>
    <x v="17"/>
    <n v="10"/>
    <m/>
    <m/>
    <x v="3"/>
  </r>
  <r>
    <x v="9"/>
    <m/>
    <x v="7"/>
    <s v="DOWN"/>
    <m/>
    <s v="DOWN"/>
    <n v="0.57376000000000005"/>
    <n v="-5.2112381483546029E-2"/>
    <n v="-7.825571667596197E-2"/>
    <n v="1.5016722408027052"/>
    <n v="10.213670338313415"/>
    <m/>
    <n v="0.57674999999999998"/>
    <n v="0.56927000000000005"/>
    <m/>
    <m/>
    <n v="0.57674999999999998"/>
    <n v="5.1664215002787532"/>
    <x v="2"/>
    <d v="2025-11-28T00:00:00"/>
    <m/>
    <m/>
    <n v="-0.52112381483546033"/>
    <x v="18"/>
    <n v="10"/>
    <m/>
    <m/>
    <x v="3"/>
  </r>
  <r>
    <x v="9"/>
    <m/>
    <x v="6"/>
    <s v="UP"/>
    <m/>
    <s v="UP"/>
    <n v="156.31700000000001"/>
    <n v="3.6912172060620287E-2"/>
    <n v="8.316433913137937E-2"/>
    <n v="2.2530329289427851"/>
    <n v="2.6791556796370145E-2"/>
    <m/>
    <n v="155.74"/>
    <n v="157.61699999999999"/>
    <m/>
    <m/>
    <n v="156.304"/>
    <n v="3.659472738089895"/>
    <x v="2"/>
    <d v="2025-11-27T00:00:00"/>
    <m/>
    <m/>
    <n v="-8.3164339131413915E-4"/>
    <x v="19"/>
    <n v="10"/>
    <m/>
    <m/>
    <x v="1"/>
  </r>
  <r>
    <x v="10"/>
    <m/>
    <x v="8"/>
    <s v="UP"/>
    <m/>
    <s v="UP"/>
    <n v="1.1571199999999999"/>
    <n v="2.6877074115043784E-2"/>
    <n v="6.9396432522123741E-2"/>
    <n v="2.5819935691318716"/>
    <n v="2.6326973464380097"/>
    <m/>
    <n v="1.15401"/>
    <n v="1.1651499999999999"/>
    <m/>
    <m/>
    <n v="1.15987"/>
    <n v="2.6645931277654409"/>
    <x v="1"/>
    <d v="2025-11-28T00:00:00"/>
    <m/>
    <m/>
    <n v="2.3765901548672832E-2"/>
    <x v="20"/>
    <n v="1"/>
    <m/>
    <m/>
    <x v="1"/>
  </r>
  <r>
    <x v="11"/>
    <m/>
    <x v="5"/>
    <s v="DOWN"/>
    <m/>
    <s v="DOWN"/>
    <n v="194.15899999999999"/>
    <n v="-1.534824551012324E-2"/>
    <n v="-6.7315962690371711E-2"/>
    <n v="4.3859060402683898"/>
    <n v="8.9220299170989278E-3"/>
    <m/>
    <n v="194.45699999999999"/>
    <n v="192.852"/>
    <m/>
    <m/>
    <n v="193.46"/>
    <n v="1.5216250598736181"/>
    <x v="1"/>
    <d v="2025-12-04T00:00:00"/>
    <m/>
    <m/>
    <n v="0.36001421515355136"/>
    <x v="21"/>
    <n v="10"/>
    <m/>
    <m/>
    <x v="3"/>
  </r>
  <r>
    <x v="11"/>
    <m/>
    <x v="2"/>
    <s v="UP"/>
    <m/>
    <s v="UP"/>
    <n v="0.80047999999999997"/>
    <n v="5.3967619428342883E-2"/>
    <n v="0.11955326803917747"/>
    <n v="2.2152777777778003"/>
    <n v="7.6623401227028456"/>
    <m/>
    <n v="0.79615999999999998"/>
    <n v="0.81005000000000005"/>
    <m/>
    <m/>
    <n v="0.80035999999999996"/>
    <n v="5.3503497901259136"/>
    <x v="2"/>
    <d v="2025-12-04T00:00:00"/>
    <m/>
    <m/>
    <n v="-1.4991005396763066E-3"/>
    <x v="22"/>
    <n v="10"/>
    <m/>
    <m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m/>
    <s v="EURAUD"/>
    <s v="UP"/>
    <m/>
    <s v="UP"/>
    <n v="1.7707599999999999"/>
    <n v="1.9200795138809595E-2"/>
    <n v="0.12435338498723797"/>
    <n v="6.4764705882356282"/>
    <n v="1.2280688381337725"/>
    <n v="5"/>
    <n v="1.76736"/>
    <n v="1.79278"/>
    <m/>
    <s v=""/>
    <m/>
    <n v="1.9035668300615833"/>
    <s v="Beakeven"/>
    <m/>
    <m/>
    <m/>
    <n v="0"/>
    <n v="0"/>
    <n v="10"/>
    <s v="MANTENER"/>
    <m/>
    <m/>
    <n v="99.14"/>
  </r>
  <r>
    <x v="1"/>
    <m/>
    <s v="AUDCAD"/>
    <s v="DOWN"/>
    <m/>
    <s v="DOWN"/>
    <n v="0.91556999999999999"/>
    <n v="-2.8725274965322383E-2"/>
    <n v="-8.3772950184037867E-2"/>
    <n v="2.9163498098858907"/>
    <n v="3.5363514950076218"/>
    <n v="5"/>
    <n v="0.91820000000000002"/>
    <n v="0.90790000000000004"/>
    <m/>
    <n v="0"/>
    <m/>
    <n v="2.8478237600620613"/>
    <s v="Beakeven"/>
    <m/>
    <m/>
    <m/>
    <n v="0"/>
    <n v="0"/>
    <n v="1"/>
    <s v="MANTENER"/>
    <m/>
    <n v="0"/>
    <n v="99.14"/>
  </r>
  <r>
    <x v="1"/>
    <m/>
    <s v="USDCHF"/>
    <s v="DOWN"/>
    <m/>
    <s v="DOWN"/>
    <n v="0.80528999999999995"/>
    <n v="-2.8561139465286791E-2"/>
    <n v="-0.12927020079722734"/>
    <n v="4.5260869565215476"/>
    <n v="3.9977268426622667"/>
    <n v="5"/>
    <n v="0.80759000000000003"/>
    <n v="0.79488000000000003"/>
    <m/>
    <n v="0"/>
    <m/>
    <n v="2.8315513665885326"/>
    <s v="Beakeven"/>
    <m/>
    <m/>
    <m/>
    <n v="0"/>
    <n v="0"/>
    <n v="10"/>
    <s v="MANTENER"/>
    <m/>
    <n v="0"/>
    <n v="99.14"/>
  </r>
  <r>
    <x v="1"/>
    <m/>
    <s v="AUDUSD"/>
    <s v="UP"/>
    <m/>
    <s v="buy limit"/>
    <n v="0.64973000000000003"/>
    <n v="4.3864374432456846E-2"/>
    <n v="0.18977113570252183"/>
    <n v="4.3263157894736386"/>
    <n v="7.6650807618183086"/>
    <n v="5"/>
    <n v="0.64688000000000001"/>
    <n v="0.66205999999999998"/>
    <m/>
    <s v=""/>
    <m/>
    <n v="4.3487140812337719"/>
    <s v="Beakeven"/>
    <m/>
    <m/>
    <m/>
    <n v="0"/>
    <n v="0"/>
    <n v="1"/>
    <s v="MANTENER"/>
    <m/>
    <n v="0"/>
    <n v="99.14"/>
  </r>
  <r>
    <x v="0"/>
    <m/>
    <s v="EURAUD"/>
    <s v="UP"/>
    <m/>
    <s v="UP"/>
    <n v="1.7707599999999999"/>
    <n v="1.9200795138809595E-2"/>
    <n v="0.12435338498723797"/>
    <n v="6.4764705882356282"/>
    <n v="1.2280688381337725"/>
    <n v="5"/>
    <n v="1.76736"/>
    <n v="1.79278"/>
    <n v="1.7699199999999999"/>
    <s v=""/>
    <n v="1.77504"/>
    <n v="1.9035668300615833"/>
    <s v="WIN"/>
    <d v="2025-11-13T00:00:00"/>
    <m/>
    <m/>
    <n v="2.417041270414998E-2"/>
    <n v="0.2396254715489429"/>
    <n v="10"/>
    <s v="MANTENER"/>
    <m/>
    <n v="3"/>
    <n v="99.379625471548948"/>
  </r>
  <r>
    <x v="0"/>
    <m/>
    <s v="AUDCAD"/>
    <s v="DOWN"/>
    <m/>
    <s v="DOWN"/>
    <n v="0.91556999999999999"/>
    <n v="-2.8725274965322383E-2"/>
    <n v="-8.3772950184037867E-2"/>
    <n v="2.9163498098858907"/>
    <n v="3.5363514950076218"/>
    <n v="5"/>
    <n v="0.91820000000000002"/>
    <n v="0.90790000000000004"/>
    <n v="0.91642999999999997"/>
    <s v=""/>
    <n v="0.91620000000000001"/>
    <n v="2.8478237600620613"/>
    <s v="LOSE"/>
    <d v="2025-11-13T00:00:00"/>
    <m/>
    <m/>
    <n v="-6.8809594023397383E-2"/>
    <n v="-6.8217831514796163"/>
    <n v="1"/>
    <s v="MANTENER"/>
    <m/>
    <n v="3"/>
    <n v="92.557842320069327"/>
  </r>
  <r>
    <x v="0"/>
    <m/>
    <s v="USDCHF"/>
    <s v="DOWN"/>
    <m/>
    <s v="DOWN"/>
    <n v="0.80528999999999995"/>
    <n v="-2.8561139465286791E-2"/>
    <n v="-0.12927020079722734"/>
    <n v="4.5260869565215476"/>
    <n v="3.9977268426622667"/>
    <n v="5"/>
    <n v="0.80759000000000003"/>
    <n v="0.79488000000000003"/>
    <m/>
    <n v="0"/>
    <n v="0.80759000000000003"/>
    <n v="2.8315513665885326"/>
    <s v="LOSE"/>
    <d v="2025-11-11T00:00:00"/>
    <m/>
    <s v="SL"/>
    <n v="-0.28561139465286789"/>
    <n v="-2.8315513665885321"/>
    <n v="10"/>
    <s v="MANTENER"/>
    <m/>
    <n v="1"/>
    <n v="89.726290953480799"/>
  </r>
  <r>
    <x v="1"/>
    <m/>
    <s v="AUDUSD"/>
    <s v="UP"/>
    <m/>
    <s v="buy limit"/>
    <n v="0.64973000000000003"/>
    <n v="4.3864374432456846E-2"/>
    <n v="0.18977113570252183"/>
    <n v="4.3263157894736386"/>
    <n v="7.6650807618183086"/>
    <n v="5"/>
    <n v="0.64688000000000001"/>
    <n v="0.66205999999999998"/>
    <m/>
    <s v=""/>
    <m/>
    <n v="4.3487140812337719"/>
    <s v="Beakeven"/>
    <m/>
    <m/>
    <m/>
    <n v="0"/>
    <n v="0"/>
    <n v="1"/>
    <s v="MANTENER"/>
    <m/>
    <n v="0"/>
    <n v="89.726290953480799"/>
  </r>
  <r>
    <x v="2"/>
    <m/>
    <s v="GBPUSD"/>
    <s v="UP"/>
    <m/>
    <s v="UP"/>
    <n v="1.3151600000000001"/>
    <n v="5.1628699169683337E-2"/>
    <n v="0.17549195535144002"/>
    <n v="3.3991163475699167"/>
    <n v="4.4605573162344214"/>
    <n v="5"/>
    <n v="1.30837"/>
    <n v="1.3382400000000001"/>
    <n v="1.3109"/>
    <s v=""/>
    <n v="1.31484"/>
    <n v="5.1184692356824062"/>
    <s v="LOSE"/>
    <d v="2025-11-13T00:00:00"/>
    <m/>
    <m/>
    <n v="-2.4331640256706256E-3"/>
    <n v="-0.24122388150498583"/>
    <n v="1"/>
    <s v="MANTENER"/>
    <m/>
    <n v="2"/>
    <n v="89.48506707197582"/>
  </r>
  <r>
    <x v="3"/>
    <m/>
    <s v="AUDUSD"/>
    <s v="UP"/>
    <m/>
    <s v="UP"/>
    <n v="0.65205999999999997"/>
    <n v="3.3432506211084255E-2"/>
    <n v="0.14875931662730488"/>
    <n v="4.4495412844037707"/>
    <n v="5.8151949827507012"/>
    <n v="5"/>
    <n v="0.64988000000000001"/>
    <n v="0.66176000000000001"/>
    <m/>
    <s v=""/>
    <n v="0.64988999999999997"/>
    <n v="3.3144986657668931"/>
    <s v="LOSE"/>
    <d v="2025-11-17T00:00:00"/>
    <m/>
    <s v="SL"/>
    <n v="-3.3279146090850621E-2"/>
    <n v="-3.2992945434469307"/>
    <n v="1"/>
    <s v="MANTENER"/>
    <m/>
    <n v="0"/>
    <n v="86.185772528528886"/>
  </r>
  <r>
    <x v="4"/>
    <m/>
    <s v="AUDCAD"/>
    <s v="DOWN"/>
    <m/>
    <s v="DOWN"/>
    <n v="0.91774"/>
    <n v="-1.5908645150042679E-2"/>
    <n v="-3.4105520081940045E-2"/>
    <n v="2.1438356164383081"/>
    <n v="1.9563731695230624"/>
    <m/>
    <n v="0.91920000000000002"/>
    <n v="0.91461000000000003"/>
    <m/>
    <n v="0"/>
    <n v="0.91620000000000001"/>
    <n v="1.5771830801752311"/>
    <s v="Beakeven"/>
    <d v="2025-11-13T00:00:00"/>
    <m/>
    <m/>
    <n v="0.16780351733606313"/>
    <m/>
    <m/>
    <m/>
    <m/>
    <n v="0"/>
    <n v="86.185772528528886"/>
  </r>
  <r>
    <x v="3"/>
    <m/>
    <s v="CHFJPY"/>
    <s v="DOWN"/>
    <m/>
    <s v="DOWN"/>
    <n v="194.59"/>
    <n v="-5.1852613186699523E-2"/>
    <n v="-0.2409681895266968"/>
    <n v="4.6471754212091758"/>
    <n v="2.996625956560783E-2"/>
    <n v="5"/>
    <n v="195.59899999999999"/>
    <n v="189.90100000000001"/>
    <n v="194.26900000000001"/>
    <n v="195.24034500000002"/>
    <n v="194.42500000000001"/>
    <n v="5.1406680713293911"/>
    <s v="WIN"/>
    <d v="2025-11-20T00:00:00"/>
    <m/>
    <m/>
    <n v="8.4793668739396713E-2"/>
    <n v="0.84064443188237914"/>
    <n v="10"/>
    <s v="MANTENER"/>
    <m/>
    <n v="3"/>
    <n v="87.026416960411268"/>
  </r>
  <r>
    <x v="3"/>
    <m/>
    <s v="GBPUSD"/>
    <s v="DOWN"/>
    <m/>
    <s v="DOWN"/>
    <n v="1.3184100000000001"/>
    <n v="-3.0794669336548966E-2"/>
    <n v="-7.4711205163796812E-2"/>
    <n v="2.4261083743842984"/>
    <n v="2.632196062894065"/>
    <n v="5"/>
    <n v="1.32247"/>
    <n v="1.3085599999999999"/>
    <n v="1.3147"/>
    <n v="1.3212735"/>
    <m/>
    <n v="3.0529835180254645"/>
    <s v="Beakeven"/>
    <d v="2025-11-19T00:00:00"/>
    <m/>
    <m/>
    <n v="0"/>
    <n v="0"/>
    <n v="1"/>
    <s v="MANTENER"/>
    <m/>
    <n v="2"/>
    <n v="87.026416960411268"/>
  </r>
  <r>
    <x v="5"/>
    <m/>
    <s v="CHFJPY"/>
    <s v="DOWN"/>
    <m/>
    <s v="DOWN"/>
    <n v="195.249"/>
    <n v="-3.9590471654143991E-2"/>
    <n v="-0.2739066525308701"/>
    <n v="6.9184993531694863"/>
    <n v="2.2830445108645254E-2"/>
    <n v="5"/>
    <n v="196.02199999999999"/>
    <n v="189.90100000000001"/>
    <m/>
    <m/>
    <n v="194.42500000000001"/>
    <n v="3.9249993597918351"/>
    <s v="WIN"/>
    <d v="2025-11-21T00:00:00"/>
    <m/>
    <m/>
    <n v="0.4220252088358884"/>
    <n v="4.1839579203989974"/>
    <n v="10"/>
    <m/>
    <m/>
    <n v="1"/>
    <n v="91.210374880810264"/>
  </r>
  <r>
    <x v="6"/>
    <m/>
    <s v="EURAUD"/>
    <s v="DOWN"/>
    <m/>
    <s v="DOWN"/>
    <n v="1.7886500000000001"/>
    <n v="-2.9351745730019717E-2"/>
    <n v="-0.13132809660917458"/>
    <n v="4.4742857142857364"/>
    <n v="1.8495421183309106"/>
    <n v="5"/>
    <n v="1.7939000000000001"/>
    <n v="1.7651600000000001"/>
    <m/>
    <m/>
    <n v="1.78312"/>
    <n v="2.9099320716741546"/>
    <s v="WIN"/>
    <d v="2025-11-24T00:00:00"/>
    <m/>
    <m/>
    <n v="0.30917172168954432"/>
    <n v="3.0651284488301425"/>
    <n v="10"/>
    <m/>
    <m/>
    <n v="0"/>
    <n v="94.275503329640401"/>
  </r>
  <r>
    <x v="6"/>
    <m/>
    <s v="GBPUSD"/>
    <s v="UP"/>
    <m/>
    <s v="UP"/>
    <n v="1.31101"/>
    <n v="2.2883120647440629E-2"/>
    <n v="8.4286161051403144E-2"/>
    <n v="3.6833333333331946"/>
    <n v="1.9775738245380112"/>
    <n v="5"/>
    <n v="1.3080099999999999"/>
    <n v="1.32206"/>
    <m/>
    <m/>
    <n v="1.3126"/>
    <n v="2.2686325809872638"/>
    <s v="WIN"/>
    <d v="2025-11-25T00:00:00"/>
    <m/>
    <m/>
    <n v="1.2128053943142923E-2"/>
    <n v="1.2023752679231894"/>
    <n v="1"/>
    <m/>
    <m/>
    <n v="1"/>
    <n v="95.477878597563588"/>
  </r>
  <r>
    <x v="6"/>
    <m/>
    <s v="CHFJPY"/>
    <s v="DOWN"/>
    <m/>
    <s v="DOWN"/>
    <n v="194.535"/>
    <n v="-4.2614439561004844E-2"/>
    <n v="-0.23820906263654285"/>
    <n v="5.5898673100119938"/>
    <n v="2.4657029884024489E-2"/>
    <n v="5"/>
    <n v="195.364"/>
    <n v="189.90100000000001"/>
    <m/>
    <m/>
    <n v="194.113"/>
    <n v="4.2247955380780207"/>
    <s v="WIN"/>
    <d v="2025-11-24T00:00:00"/>
    <m/>
    <m/>
    <n v="0.21692754517181848"/>
    <n v="2.1506196828334083"/>
    <n v="10"/>
    <m/>
    <m/>
    <n v="0"/>
    <n v="97.628498280396997"/>
  </r>
  <r>
    <x v="6"/>
    <m/>
    <s v="USDJPY"/>
    <s v="DOWN"/>
    <m/>
    <s v="DOWN"/>
    <n v="157.16499999999999"/>
    <n v="-4.0339770305094301E-2"/>
    <n v="-0.19718130627047942"/>
    <n v="4.8880126182964014"/>
    <n v="2.8897328390294682E-2"/>
    <n v="5"/>
    <n v="157.79900000000001"/>
    <n v="154.066"/>
    <m/>
    <m/>
    <n v="156.84200000000001"/>
    <n v="3.999284828047049"/>
    <s v="WIN"/>
    <d v="2025-11-24T00:00:00"/>
    <m/>
    <m/>
    <n v="0.2055164954029072"/>
    <n v="2.0374905354244222"/>
    <n v="10"/>
    <m/>
    <m/>
    <n v="0"/>
    <n v="99.665988815821422"/>
  </r>
  <r>
    <x v="7"/>
    <m/>
    <s v="CADCHF"/>
    <s v="DOWN"/>
    <m/>
    <s v="DOWN"/>
    <n v="0.57352999999999998"/>
    <n v="-2.702561330706417E-2"/>
    <n v="-7.4276846895540441E-2"/>
    <n v="2.7483870967740578"/>
    <n v="5.3122170736080356"/>
    <n v="5"/>
    <n v="0.57508000000000004"/>
    <n v="0.56927000000000005"/>
    <m/>
    <m/>
    <n v="0.57233000000000001"/>
    <n v="2.6793193032623419"/>
    <s v="WIN"/>
    <d v="2025-11-25T00:00:00"/>
    <m/>
    <m/>
    <n v="0.20923055463532492"/>
    <n v="2.0743117186546112"/>
    <n v="10"/>
    <m/>
    <m/>
    <n v="0"/>
    <n v="101.74030053447603"/>
  </r>
  <r>
    <x v="7"/>
    <m/>
    <s v="AUDUSD"/>
    <s v="UP"/>
    <m/>
    <s v="UP"/>
    <n v="0.64497000000000004"/>
    <n v="4.4188101772175747E-2"/>
    <n v="0.19427260182644043"/>
    <n v="4.3964912280701212"/>
    <n v="7.7788906681498293"/>
    <n v="5"/>
    <n v="0.64212000000000002"/>
    <n v="0.65749999999999997"/>
    <m/>
    <m/>
    <n v="0.64676"/>
    <n v="4.380808409693504"/>
    <s v="WIN"/>
    <d v="2025-11-25T00:00:00"/>
    <m/>
    <m/>
    <n v="2.7753228832348147E-2"/>
    <n v="2.7514551064389954"/>
    <n v="1"/>
    <m/>
    <m/>
    <n v="0"/>
    <n v="104.49175564091503"/>
  </r>
  <r>
    <x v="8"/>
    <m/>
    <s v="USDJPY"/>
    <s v="DOWN"/>
    <m/>
    <s v="DOWN"/>
    <n v="156.55199999999999"/>
    <n v="-3.0980121620931937E-2"/>
    <n v="-0.15879707700955531"/>
    <n v="5.1257731958761239"/>
    <n v="2.2300245663815707E-2"/>
    <m/>
    <n v="157.03700000000001"/>
    <n v="154.066"/>
    <m/>
    <m/>
    <n v="156.21600000000001"/>
    <n v="3.0713692574991924"/>
    <s v="WIN"/>
    <d v="2025-11-27T00:00:00"/>
    <m/>
    <m/>
    <n v="0.21462517246664645"/>
    <n v="2.1277939598343329"/>
    <n v="10"/>
    <m/>
    <m/>
    <n v="1"/>
    <n v="106.61954960074937"/>
  </r>
  <r>
    <x v="8"/>
    <m/>
    <s v="USDCHF"/>
    <s v="DOWN"/>
    <m/>
    <s v="DOWN"/>
    <n v="0.80611999999999995"/>
    <n v="-2.9896293355828208E-2"/>
    <n v="-8.6463553813327071E-2"/>
    <n v="2.8921161825725537"/>
    <n v="4.1797444191456634"/>
    <m/>
    <n v="0.80852999999999997"/>
    <n v="0.79915000000000003"/>
    <m/>
    <m/>
    <n v="0.80357000000000001"/>
    <n v="2.9639185232968086"/>
    <s v="WIN"/>
    <d v="2025-11-27T00:00:00"/>
    <m/>
    <m/>
    <n v="0.31633007492680265"/>
    <n v="3.1360963628243215"/>
    <n v="10"/>
    <m/>
    <m/>
    <n v="1"/>
    <n v="109.75564596357368"/>
  </r>
  <r>
    <x v="9"/>
    <m/>
    <s v="USDCHF"/>
    <s v="DOWN"/>
    <m/>
    <s v="DOWN"/>
    <n v="0.80554000000000003"/>
    <n v="-3.5504133872929632E-2"/>
    <n v="-0.16225140899272569"/>
    <n v="4.5699300699301215"/>
    <n v="4.9645642615426757"/>
    <m/>
    <n v="0.80840000000000001"/>
    <n v="0.79247000000000001"/>
    <m/>
    <m/>
    <n v="0.80347000000000002"/>
    <n v="3.5198798321622435"/>
    <s v="WIN"/>
    <d v="2025-11-28T00:00:00"/>
    <m/>
    <m/>
    <n v="0.25697047942994966"/>
    <n v="2.5476053330685211"/>
    <n v="10"/>
    <m/>
    <m/>
    <n v="1"/>
    <n v="112.3032512966422"/>
  </r>
  <r>
    <x v="9"/>
    <m/>
    <s v="CADCHF"/>
    <s v="DOWN"/>
    <m/>
    <s v="DOWN"/>
    <n v="0.57376000000000005"/>
    <n v="-5.2112381483546029E-2"/>
    <n v="-7.825571667596197E-2"/>
    <n v="1.5016722408027052"/>
    <n v="10.213670338313415"/>
    <m/>
    <n v="0.57674999999999998"/>
    <n v="0.56927000000000005"/>
    <m/>
    <m/>
    <n v="0.57674999999999998"/>
    <n v="5.1664215002787532"/>
    <s v="LOSE"/>
    <d v="2025-11-28T00:00:00"/>
    <m/>
    <m/>
    <n v="-0.52112381483546033"/>
    <n v="-5.1664215002787532"/>
    <n v="10"/>
    <m/>
    <m/>
    <n v="1"/>
    <n v="107.13682979636344"/>
  </r>
  <r>
    <x v="9"/>
    <m/>
    <s v="USDJPY"/>
    <s v="UP"/>
    <m/>
    <s v="UP"/>
    <n v="156.31700000000001"/>
    <n v="3.6912172060620287E-2"/>
    <n v="8.316433913137937E-2"/>
    <n v="2.2530329289427851"/>
    <n v="2.6791556796370145E-2"/>
    <m/>
    <n v="155.74"/>
    <n v="157.61699999999999"/>
    <m/>
    <m/>
    <n v="156.304"/>
    <n v="3.659472738089895"/>
    <s v="LOSE"/>
    <d v="2025-11-27T00:00:00"/>
    <m/>
    <m/>
    <n v="-8.3164339131413915E-4"/>
    <n v="-8.2449125814883749E-3"/>
    <n v="10"/>
    <m/>
    <m/>
    <n v="0"/>
    <n v="107.12858488378195"/>
  </r>
  <r>
    <x v="10"/>
    <m/>
    <s v="EURUSD"/>
    <s v="UP"/>
    <m/>
    <s v="UP"/>
    <n v="1.1571199999999999"/>
    <n v="2.6877074115043784E-2"/>
    <n v="6.9396432522123741E-2"/>
    <n v="2.5819935691318716"/>
    <n v="2.6326973464380097"/>
    <m/>
    <n v="1.15401"/>
    <n v="1.1651499999999999"/>
    <m/>
    <m/>
    <n v="1.15987"/>
    <n v="2.6645931277654409"/>
    <s v="WIN"/>
    <d v="2025-11-28T00:00:00"/>
    <m/>
    <m/>
    <n v="2.3765901548672832E-2"/>
    <n v="2.3561514795354244"/>
    <n v="1"/>
    <m/>
    <m/>
    <n v="0"/>
    <n v="109.48473636331738"/>
  </r>
  <r>
    <x v="11"/>
    <m/>
    <s v="CHFJPY"/>
    <s v="DOWN"/>
    <m/>
    <s v="DOWN"/>
    <n v="194.15899999999999"/>
    <n v="-1.534824551012324E-2"/>
    <n v="-6.7315962690371711E-2"/>
    <n v="4.3859060402683898"/>
    <n v="8.9220299170989278E-3"/>
    <m/>
    <n v="194.45699999999999"/>
    <n v="192.852"/>
    <m/>
    <m/>
    <n v="193.46"/>
    <n v="1.5216250598736181"/>
    <s v="WIN"/>
    <d v="2025-12-04T00:00:00"/>
    <m/>
    <m/>
    <n v="0.36001421515355136"/>
    <n v="3.5691809290323087"/>
    <n v="10"/>
    <m/>
    <m/>
    <n v="1"/>
    <n v="113.05391729234969"/>
  </r>
  <r>
    <x v="11"/>
    <m/>
    <s v="USDCHF"/>
    <s v="UP"/>
    <m/>
    <s v="UP"/>
    <n v="0.80047999999999997"/>
    <n v="5.3967619428342883E-2"/>
    <n v="0.11955326803917747"/>
    <n v="2.2152777777778003"/>
    <n v="7.6623401227028456"/>
    <m/>
    <n v="0.79615999999999998"/>
    <n v="0.81005000000000005"/>
    <m/>
    <m/>
    <n v="0.80035999999999996"/>
    <n v="5.3503497901259136"/>
    <s v="LOSE"/>
    <d v="2025-12-04T00:00:00"/>
    <m/>
    <m/>
    <n v="-1.4991005396763066E-3"/>
    <n v="-1.4862082750350905E-2"/>
    <n v="10"/>
    <m/>
    <m/>
    <n v="1"/>
    <n v="113.039055209599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2C3272-F412-4416-9371-4514EEB219E6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3">
  <location ref="A1:B11" firstHeaderRow="1" firstDataRow="1" firstDataCol="1"/>
  <pivotFields count="30">
    <pivotField showAll="0">
      <items count="13">
        <item x="0"/>
        <item x="2"/>
        <item x="4"/>
        <item x="3"/>
        <item x="5"/>
        <item x="6"/>
        <item x="7"/>
        <item x="8"/>
        <item x="9"/>
        <item x="10"/>
        <item x="11"/>
        <item x="1"/>
        <item t="default"/>
      </items>
    </pivotField>
    <pivotField showAll="0"/>
    <pivotField axis="axisRow" dataField="1" showAll="0" sortType="descending">
      <items count="10">
        <item x="1"/>
        <item x="3"/>
        <item x="7"/>
        <item x="5"/>
        <item x="0"/>
        <item x="8"/>
        <item x="4"/>
        <item x="2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10">
    <i>
      <x v="7"/>
    </i>
    <i>
      <x v="1"/>
    </i>
    <i>
      <x v="3"/>
    </i>
    <i>
      <x/>
    </i>
    <i>
      <x v="8"/>
    </i>
    <i>
      <x v="6"/>
    </i>
    <i>
      <x v="4"/>
    </i>
    <i>
      <x v="2"/>
    </i>
    <i>
      <x v="5"/>
    </i>
    <i t="grand">
      <x/>
    </i>
  </rowItems>
  <colItems count="1">
    <i/>
  </colItems>
  <dataFields count="1">
    <dataField name="Cuenta de Activo" fld="2" subtotal="count" baseField="0" baseItem="0"/>
  </dataField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20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0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0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0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20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0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0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0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538D90-6BCE-417F-9FE6-D03C0E45C87D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A1:E12" firstHeaderRow="1" firstDataRow="2" firstDataCol="1"/>
  <pivotFields count="30">
    <pivotField showAll="0">
      <items count="13">
        <item x="0"/>
        <item x="2"/>
        <item x="4"/>
        <item x="3"/>
        <item x="5"/>
        <item x="6"/>
        <item x="7"/>
        <item x="8"/>
        <item x="9"/>
        <item x="10"/>
        <item x="11"/>
        <item x="1"/>
        <item t="default"/>
      </items>
    </pivotField>
    <pivotField showAll="0"/>
    <pivotField axis="axisRow" dataField="1" showAll="0">
      <items count="10">
        <item x="1"/>
        <item x="3"/>
        <item x="7"/>
        <item x="5"/>
        <item x="0"/>
        <item x="8"/>
        <item x="4"/>
        <item x="2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8"/>
  </colFields>
  <colItems count="4">
    <i>
      <x/>
    </i>
    <i>
      <x v="1"/>
    </i>
    <i>
      <x v="2"/>
    </i>
    <i t="grand">
      <x/>
    </i>
  </colItems>
  <dataFields count="1">
    <dataField name="Cuenta de Activo" fld="2" subtotal="count" baseField="0" baseItem="0"/>
  </dataFields>
  <chartFormats count="7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8" format="1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8" format="1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50DC88-F9CA-4428-B939-3E77F88B3C81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A1:B7" firstHeaderRow="1" firstDataRow="1" firstDataCol="1"/>
  <pivotFields count="30">
    <pivotField showAll="0">
      <items count="13">
        <item x="0"/>
        <item x="2"/>
        <item x="4"/>
        <item x="3"/>
        <item x="5"/>
        <item x="6"/>
        <item x="7"/>
        <item x="8"/>
        <item x="9"/>
        <item x="10"/>
        <item x="11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1"/>
        <item x="3"/>
        <item x="4"/>
        <item x="2"/>
        <item x="0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uenta de DIAS" fld="27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5AB87E-D288-4655-A125-79C98E77C3AE}" name="Tabla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A1:B32" firstHeaderRow="1" firstDataRow="1" firstDataCol="1"/>
  <pivotFields count="30">
    <pivotField showAll="0">
      <items count="13">
        <item x="0"/>
        <item x="2"/>
        <item x="4"/>
        <item x="3"/>
        <item x="5"/>
        <item x="6"/>
        <item x="7"/>
        <item x="8"/>
        <item x="9"/>
        <item x="10"/>
        <item x="11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24">
        <item x="2"/>
        <item x="18"/>
        <item x="5"/>
        <item x="3"/>
        <item x="4"/>
        <item x="19"/>
        <item x="0"/>
        <item x="1"/>
        <item x="7"/>
        <item x="10"/>
        <item x="12"/>
        <item x="13"/>
        <item x="15"/>
        <item x="11"/>
        <item x="20"/>
        <item x="17"/>
        <item x="14"/>
        <item x="9"/>
        <item x="16"/>
        <item x="8"/>
        <item x="6"/>
        <item x="21"/>
        <item x="22"/>
        <item t="default"/>
      </items>
    </pivotField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27"/>
    <field x="23"/>
  </rowFields>
  <rowItems count="31">
    <i>
      <x/>
    </i>
    <i r="1">
      <x v="2"/>
    </i>
    <i r="1">
      <x v="5"/>
    </i>
    <i r="1">
      <x v="6"/>
    </i>
    <i r="1">
      <x v="10"/>
    </i>
    <i r="1">
      <x v="11"/>
    </i>
    <i r="1">
      <x v="13"/>
    </i>
    <i r="1">
      <x v="14"/>
    </i>
    <i r="1">
      <x v="16"/>
    </i>
    <i r="1">
      <x v="17"/>
    </i>
    <i r="1">
      <x v="20"/>
    </i>
    <i>
      <x v="1"/>
    </i>
    <i r="1">
      <x v="1"/>
    </i>
    <i r="1">
      <x v="3"/>
    </i>
    <i r="1">
      <x v="9"/>
    </i>
    <i r="1">
      <x v="12"/>
    </i>
    <i r="1">
      <x v="15"/>
    </i>
    <i r="1">
      <x v="18"/>
    </i>
    <i r="1">
      <x v="19"/>
    </i>
    <i r="1">
      <x v="21"/>
    </i>
    <i r="1">
      <x v="22"/>
    </i>
    <i>
      <x v="2"/>
    </i>
    <i r="1">
      <x v="4"/>
    </i>
    <i r="1">
      <x v="6"/>
    </i>
    <i>
      <x v="3"/>
    </i>
    <i r="1">
      <x/>
    </i>
    <i r="1">
      <x v="7"/>
    </i>
    <i r="1">
      <x v="8"/>
    </i>
    <i>
      <x v="4"/>
    </i>
    <i r="1">
      <x v="6"/>
    </i>
    <i t="grand">
      <x/>
    </i>
  </rowItems>
  <colItems count="1">
    <i/>
  </colItems>
  <dataFields count="1">
    <dataField name="Suma de $ Retorno" fld="23" baseField="0" baseItem="0"/>
  </dataFields>
  <chartFormats count="2">
    <chartFormat chart="0" format="4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6D7881-316A-4D1E-8557-79ABB7858E40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A1:B5" firstHeaderRow="1" firstDataRow="1" firstDataCol="1"/>
  <pivotFields count="30">
    <pivotField showAll="0">
      <items count="13">
        <item x="0"/>
        <item x="2"/>
        <item x="4"/>
        <item x="3"/>
        <item x="5"/>
        <item x="6"/>
        <item x="7"/>
        <item x="8"/>
        <item x="9"/>
        <item x="10"/>
        <item x="11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Resultado " fld="18" subtotal="count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84FC21-09F9-4CF8-8C81-D2485B61F297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1:B16" firstHeaderRow="1" firstDataRow="1" firstDataCol="1"/>
  <pivotFields count="30">
    <pivotField axis="axisRow" showAll="0">
      <items count="13">
        <item x="0"/>
        <item x="2"/>
        <item x="4"/>
        <item x="3"/>
        <item x="5"/>
        <item x="6"/>
        <item x="7"/>
        <item x="8"/>
        <item x="9"/>
        <item x="10"/>
        <item x="11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x="12"/>
        <item sd="0" x="13"/>
        <item t="default"/>
      </items>
    </pivotField>
  </pivotFields>
  <rowFields count="3">
    <field x="29"/>
    <field x="28"/>
    <field x="0"/>
  </rowFields>
  <rowItems count="15">
    <i>
      <x/>
    </i>
    <i>
      <x v="11"/>
    </i>
    <i r="1">
      <x v="315"/>
    </i>
    <i r="1">
      <x v="316"/>
    </i>
    <i r="1">
      <x v="318"/>
    </i>
    <i r="1">
      <x v="322"/>
    </i>
    <i r="1">
      <x v="325"/>
    </i>
    <i r="1">
      <x v="329"/>
    </i>
    <i r="1">
      <x v="330"/>
    </i>
    <i r="1">
      <x v="331"/>
    </i>
    <i r="1">
      <x v="332"/>
    </i>
    <i r="1">
      <x v="333"/>
    </i>
    <i>
      <x v="12"/>
    </i>
    <i r="1">
      <x v="338"/>
    </i>
    <i t="grand">
      <x/>
    </i>
  </rowItems>
  <colItems count="1">
    <i/>
  </colItems>
  <dataFields count="1">
    <dataField name="Suma de % Retorno" fld="22" baseField="0" baseItem="0"/>
  </dataFields>
  <chartFormats count="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FC36B9-14F6-459D-A3BD-B97FF6B7B016}" name="TablaDiná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1:B18" firstHeaderRow="1" firstDataRow="1" firstDataCol="1"/>
  <pivotFields count="31">
    <pivotField axis="axisRow" showAll="0">
      <items count="13">
        <item x="0"/>
        <item x="2"/>
        <item x="4"/>
        <item x="3"/>
        <item x="5"/>
        <item x="6"/>
        <item x="7"/>
        <item x="8"/>
        <item x="9"/>
        <item x="10"/>
        <item x="11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axis="axisRow" showAll="0">
      <items count="369">
        <item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x="12"/>
        <item sd="0" x="13"/>
        <item t="default"/>
      </items>
    </pivotField>
  </pivotFields>
  <rowFields count="3">
    <field x="30"/>
    <field x="29"/>
    <field x="0"/>
  </rowFields>
  <rowItems count="17">
    <i>
      <x/>
    </i>
    <i r="1">
      <x/>
    </i>
    <i r="2">
      <x v="11"/>
    </i>
    <i>
      <x v="11"/>
    </i>
    <i r="1">
      <x v="315"/>
    </i>
    <i r="1">
      <x v="316"/>
    </i>
    <i r="1">
      <x v="318"/>
    </i>
    <i r="1">
      <x v="322"/>
    </i>
    <i r="1">
      <x v="325"/>
    </i>
    <i r="1">
      <x v="329"/>
    </i>
    <i r="1">
      <x v="330"/>
    </i>
    <i r="1">
      <x v="331"/>
    </i>
    <i r="1">
      <x v="332"/>
    </i>
    <i r="1">
      <x v="333"/>
    </i>
    <i>
      <x v="12"/>
    </i>
    <i r="1">
      <x v="338"/>
    </i>
    <i t="grand">
      <x/>
    </i>
  </rowItems>
  <colItems count="1">
    <i/>
  </colItems>
  <dataFields count="1">
    <dataField name="Máx. de ACUMULADO" fld="28" subtotal="max" baseField="30" baseItem="12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ctivo" xr10:uid="{B86A8582-9BBD-4CDC-ABA1-F51DFAFFD0F1}" sourceName="Activo">
  <pivotTables>
    <pivotTable tabId="8" name="TablaDinámica3"/>
  </pivotTables>
  <data>
    <tabular pivotCacheId="20527752">
      <items count="9">
        <i x="1" s="1"/>
        <i x="3" s="1"/>
        <i x="7" s="1"/>
        <i x="5" s="1"/>
        <i x="0" s="1"/>
        <i x="8" s="1"/>
        <i x="4" s="1"/>
        <i x="2" s="1"/>
        <i x="6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ctivo" xr10:uid="{EBB8C75B-492E-4240-A3DB-7E65BF34EC2D}" cache="SegmentaciónDeDatos_Activo" caption="Activo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B5FACE-155F-4D10-810F-77F8D71C2AD8}" name="Tabla2" displayName="Tabla2" ref="A2:AB30" totalsRowShown="0" headerRowDxfId="14">
  <autoFilter ref="A2:AB30" xr:uid="{88B5FACE-155F-4D10-810F-77F8D71C2AD8}"/>
  <tableColumns count="28">
    <tableColumn id="1" xr3:uid="{259D74E8-3C10-40C9-8AB6-F220BDFEA475}" name="Fecha Entrada" dataDxfId="13"/>
    <tableColumn id="2" xr3:uid="{F4EB514D-85B5-4931-B419-AFCA120C9A50}" name="Hora Entrada"/>
    <tableColumn id="3" xr3:uid="{315AA832-5C81-4FDF-BD1C-A1576D5EEA80}" name="Activo"/>
    <tableColumn id="4" xr3:uid="{759B2C99-279E-45B3-8434-F949A9480DB5}" name="Fractales"/>
    <tableColumn id="5" xr3:uid="{E2AB7ECD-A96F-426B-9DB1-AB7461408B07}" name="Observaciones"/>
    <tableColumn id="6" xr3:uid="{095D5AD1-D0E0-4454-9290-D0560DEB3A65}" name="ENTRADA"/>
    <tableColumn id="7" xr3:uid="{27FEB23B-2EAA-492A-9073-463104AD9D83}" name="Precio Entrada"/>
    <tableColumn id="8" xr3:uid="{65423D2D-38A5-4678-80F8-88198095A094}" name="SL (%)">
      <calculatedColumnFormula>(G3-M3)/G3*10</calculatedColumnFormula>
    </tableColumn>
    <tableColumn id="9" xr3:uid="{05836685-BB5A-45D6-B833-5A0F51596B2D}" name="TP (%)">
      <calculatedColumnFormula>(N3-G3)/G3*10</calculatedColumnFormula>
    </tableColumn>
    <tableColumn id="10" xr3:uid="{BCB9BA77-391D-4F1D-BFAC-1EC7F391E0D6}" name="riesgo/beneficio">
      <calculatedColumnFormula>I3/H3</calculatedColumnFormula>
    </tableColumn>
    <tableColumn id="11" xr3:uid="{E414FC84-CDBB-416F-A327-01F2DD6A01FF}" name="Unidades">
      <calculatedColumnFormula>($C$1*ABS(H3))/M3</calculatedColumnFormula>
    </tableColumn>
    <tableColumn id="12" xr3:uid="{F3D45FE8-B903-4509-8D10-07F8C2F6E86B}" name="TIEMPO"/>
    <tableColumn id="13" xr3:uid="{7EE53C87-9524-43D5-9C41-3DB7C70F76E3}" name="SL Precio"/>
    <tableColumn id="14" xr3:uid="{B3B50F9B-09E9-41EC-B740-5EC1F908D6F0}" name="TP Precio"/>
    <tableColumn id="15" xr3:uid="{D6B0BDC7-CF4A-428D-A330-650825EB3563}" name="Precio  Actual "/>
    <tableColumn id="16" xr3:uid="{341E004D-6E26-4353-9291-3CD023621312}" name="Trailing stop"/>
    <tableColumn id="17" xr3:uid="{BBD6FE70-342B-4A7B-A0D0-EFB131F2CAC9}" name="Precio cierre"/>
    <tableColumn id="18" xr3:uid="{EBC02B63-207C-401D-9C6F-881C400F4EF8}" name="Tamaño ($)">
      <calculatedColumnFormula>ABS(($B$1) *(H3))</calculatedColumnFormula>
    </tableColumn>
    <tableColumn id="19" xr3:uid="{FAB34B1D-46FC-4686-96F5-F82E7A606845}" name="Resultado ">
      <calculatedColumnFormula>IF(X3=0,"Beakeven",IF(X3&gt;0,"WIN","LOSE"))</calculatedColumnFormula>
    </tableColumn>
    <tableColumn id="20" xr3:uid="{E2EA8617-7000-40EC-8F34-70AD8B71AA5B}" name="Fecha Cierre" dataDxfId="12"/>
    <tableColumn id="21" xr3:uid="{07F79B59-8163-48AA-A29F-8701823B7C4F}" name="Hora Cierre"/>
    <tableColumn id="22" xr3:uid="{AB182B83-B604-4942-968D-7127A12E7BF7}" name="Motivo Cierre"/>
    <tableColumn id="23" xr3:uid="{46F7FC8B-3016-47D2-B96F-D6D8692E543F}" name="% Retorno">
      <calculatedColumnFormula>IF(Q3&gt;0, IF(F3="DOWN", ((G3-Q3)/G3)*10, ((Q3-G3)/G3))*10, 0)</calculatedColumnFormula>
    </tableColumn>
    <tableColumn id="24" xr3:uid="{2CC890BC-85EB-4A75-AC04-0C2A3C5D3045}" name="$ Retorno" dataDxfId="11">
      <calculatedColumnFormula>(W3*$B$1)/Y3</calculatedColumnFormula>
    </tableColumn>
    <tableColumn id="25" xr3:uid="{F114BF2E-97A4-4B51-AC5E-5307001970CB}" name="factor" dataDxfId="10">
      <calculatedColumnFormula>VLOOKUP(C3,Configuración!$H$1:$I$11,2)</calculatedColumnFormula>
    </tableColumn>
    <tableColumn id="26" xr3:uid="{7F14CBE0-3592-436E-938B-5EFFB7399D7D}" name="Indicacion"/>
    <tableColumn id="27" xr3:uid="{A1112ED8-DE9B-4FB6-BFA9-E601CF0D2796}" name="Observaciones2"/>
    <tableColumn id="28" xr3:uid="{0D069434-0799-4D4B-A4AF-ED2FF88DF021}" name="DIAS">
      <calculatedColumnFormula>T3-A3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82"/>
  <sheetViews>
    <sheetView zoomScale="74" zoomScaleNormal="74" workbookViewId="0">
      <pane ySplit="2" topLeftCell="A267" activePane="bottomLeft" state="frozen"/>
      <selection pane="bottomLeft" activeCell="N268" sqref="N268"/>
    </sheetView>
  </sheetViews>
  <sheetFormatPr baseColWidth="10" defaultColWidth="8.83984375" defaultRowHeight="14.4" x14ac:dyDescent="0.55000000000000004"/>
  <cols>
    <col min="1" max="1" width="14.68359375" customWidth="1"/>
    <col min="2" max="2" width="12.68359375" customWidth="1"/>
    <col min="3" max="3" width="10.734375" bestFit="1" customWidth="1"/>
    <col min="4" max="4" width="15.9453125" customWidth="1"/>
    <col min="5" max="6" width="10.734375" customWidth="1"/>
    <col min="7" max="8" width="10.734375" hidden="1" customWidth="1"/>
    <col min="9" max="10" width="10.734375" customWidth="1"/>
    <col min="11" max="11" width="16" customWidth="1"/>
    <col min="12" max="12" width="35.1015625" customWidth="1"/>
    <col min="13" max="13" width="10.734375" hidden="1" customWidth="1"/>
    <col min="14" max="18" width="10.734375" customWidth="1"/>
    <col min="19" max="19" width="15.578125" customWidth="1"/>
    <col min="25" max="25" width="14.9453125" customWidth="1"/>
    <col min="26" max="26" width="14.83984375" customWidth="1"/>
    <col min="27" max="27" width="13.5234375" customWidth="1"/>
    <col min="28" max="28" width="12.15625" customWidth="1"/>
    <col min="29" max="29" width="12.20703125" customWidth="1"/>
    <col min="30" max="30" width="15.05078125" customWidth="1"/>
    <col min="31" max="31" width="11.734375" customWidth="1"/>
    <col min="32" max="32" width="13.3125" customWidth="1"/>
    <col min="33" max="33" width="11.20703125" customWidth="1"/>
    <col min="35" max="35" width="12.1015625" customWidth="1"/>
    <col min="36" max="37" width="14.68359375" customWidth="1"/>
  </cols>
  <sheetData>
    <row r="1" spans="1:37" x14ac:dyDescent="0.55000000000000004">
      <c r="A1" t="s">
        <v>44</v>
      </c>
      <c r="B1">
        <v>72.040000000000006</v>
      </c>
      <c r="C1" t="e">
        <f>B1+SUM(AH:AH)</f>
        <v>#REF!</v>
      </c>
    </row>
    <row r="2" spans="1:37" x14ac:dyDescent="0.55000000000000004">
      <c r="A2" s="1" t="s">
        <v>0</v>
      </c>
      <c r="B2" s="1" t="s">
        <v>1</v>
      </c>
      <c r="C2" s="1" t="s">
        <v>2</v>
      </c>
      <c r="D2" s="1"/>
      <c r="E2" s="1"/>
      <c r="F2" s="1" t="s">
        <v>64</v>
      </c>
      <c r="G2" s="1"/>
      <c r="H2" s="1"/>
      <c r="I2" s="1"/>
      <c r="J2" s="1" t="s">
        <v>78</v>
      </c>
      <c r="K2" s="1" t="s">
        <v>14</v>
      </c>
      <c r="L2" s="1" t="s">
        <v>64</v>
      </c>
      <c r="M2" s="1" t="s">
        <v>52</v>
      </c>
      <c r="N2" s="1" t="s">
        <v>53</v>
      </c>
      <c r="O2" s="1" t="s">
        <v>54</v>
      </c>
      <c r="P2" s="1" t="s">
        <v>55</v>
      </c>
      <c r="Q2" s="1" t="s">
        <v>56</v>
      </c>
      <c r="R2" s="1" t="s">
        <v>59</v>
      </c>
      <c r="S2" s="1" t="s">
        <v>3</v>
      </c>
      <c r="T2" s="1" t="s">
        <v>4</v>
      </c>
      <c r="U2" s="1" t="s">
        <v>5</v>
      </c>
      <c r="V2" s="2" t="s">
        <v>24</v>
      </c>
      <c r="W2" s="1" t="s">
        <v>6</v>
      </c>
      <c r="X2" s="1" t="s">
        <v>7</v>
      </c>
      <c r="Y2" s="1" t="s">
        <v>41</v>
      </c>
      <c r="Z2" s="1" t="s">
        <v>43</v>
      </c>
      <c r="AA2" s="1" t="s">
        <v>42</v>
      </c>
      <c r="AB2" s="1" t="s">
        <v>8</v>
      </c>
      <c r="AC2" s="1" t="s">
        <v>60</v>
      </c>
      <c r="AD2" s="1" t="s">
        <v>9</v>
      </c>
      <c r="AE2" s="1" t="s">
        <v>10</v>
      </c>
      <c r="AF2" s="1" t="s">
        <v>11</v>
      </c>
      <c r="AG2" s="1" t="s">
        <v>12</v>
      </c>
      <c r="AH2" s="1" t="s">
        <v>13</v>
      </c>
      <c r="AI2" s="1" t="s">
        <v>25</v>
      </c>
      <c r="AJ2" s="1" t="s">
        <v>14</v>
      </c>
      <c r="AK2" s="2" t="s">
        <v>36</v>
      </c>
    </row>
    <row r="3" spans="1:37" x14ac:dyDescent="0.55000000000000004">
      <c r="A3" s="3">
        <v>45917</v>
      </c>
      <c r="B3" s="4">
        <v>0.64771990740740737</v>
      </c>
      <c r="C3" t="s">
        <v>32</v>
      </c>
      <c r="D3" t="e">
        <f>IF(COUNTIF(#REF!,"&lt;&gt;NAN")=0, 0, IF(AND(OR(#REF!=#REF!,#REF!="NAN"), OR(#REF!=#REF!,#REF!="NAN"), OR(#REF!=#REF!,#REF!="NAN")),#REF!, 0))</f>
        <v>#REF!</v>
      </c>
      <c r="E3" t="e">
        <f>IF(#REF!="NAN","",IF(
   AND(OR(#REF!=#REF!,#REF!="NAN"),
     OR(#REF!=#REF!,#REF!="NAN"),
     OR(#REF!=#REF!,#REF!="NAN")),
   1,
   0))</f>
        <v>#REF!</v>
      </c>
      <c r="G3" t="e">
        <f>IF(OR(#REF!="UP",#REF!="DOWN"),1,0)</f>
        <v>#REF!</v>
      </c>
      <c r="H3" t="e">
        <f>IF(OR(#REF!="UP",#REF!="DOWN"),1,0)</f>
        <v>#REF!</v>
      </c>
      <c r="I3" t="e">
        <f>IF(OR(#REF!="UP",#REF!="DOWN"),1,0)</f>
        <v>#REF!</v>
      </c>
      <c r="M3" t="e">
        <f>IF(OR(#REF!="UP",#REF!="DOWN"),1,1)</f>
        <v>#REF!</v>
      </c>
      <c r="N3" t="e">
        <f>IF(OR(#REF!="UP",#REF!="DOWN"),VLOOKUP($C3,Configuración!$H$2:$K$11,3),1)</f>
        <v>#REF!</v>
      </c>
      <c r="O3" t="e">
        <f>IF(OR(#REF!="UP",#REF!="DOWN"),VLOOKUP($C3,Configuración!$H$2:$K$11,4),1)</f>
        <v>#REF!</v>
      </c>
      <c r="P3" t="e">
        <f>IF(SUM(G3:I3)=0,
    0,
    IF(SUM(G3:I3)=1,
        G3*M3 + H3*N3 + I3*O3,
        IF(SUM(G3:I3)=2,
            1 - PRODUCT(
                IF(G3=1,1-M3,1),
                IF(H3=1,1-N3,1),
                IF(I3=1,1-O3,1)
            ),
            IF(SUM(G3:I3)=3,
                1 - PRODUCT(1-M3,1-N3,1-O3),
                0
            )
        )
    )
)</f>
        <v>#REF!</v>
      </c>
      <c r="Q3" t="e">
        <f>P3*E3</f>
        <v>#REF!</v>
      </c>
      <c r="R3" t="e">
        <f>IF(AND(OR(D3="UP",D3="DOWN"), Q3&gt;0.95), D3, 0)</f>
        <v>#REF!</v>
      </c>
      <c r="T3" t="e">
        <f>IF(R3&lt;&gt;0,Configuración!$E$2,0)</f>
        <v>#REF!</v>
      </c>
      <c r="U3" t="e">
        <f>IF(R3&lt;&gt;0,Configuración!$F$2,0)</f>
        <v>#REF!</v>
      </c>
      <c r="V3" t="e">
        <f>IF(R3&lt;&gt;0,Configuración!$G$2,0)</f>
        <v>#REF!</v>
      </c>
      <c r="W3" t="e">
        <f>IF(R3="DOWN",S3+(S3*T3/100),S3-(S3*T3/100))</f>
        <v>#REF!</v>
      </c>
      <c r="X3" t="e">
        <f>IF(R3="DOWN",S3-(S3*U3/100),S3+(S3*U3/100))</f>
        <v>#REF!</v>
      </c>
      <c r="Z3" t="e">
        <f>IF(R3="DOWN",IF(Y3 &lt; S3 * (1 - 0.01), Y3 * (1 + 0.005), ""),IF(Y3 &gt; S3 * (1 + 0.01), Y3 * (1 - 0.005), ""))</f>
        <v>#REF!</v>
      </c>
      <c r="AB3" t="e">
        <f>(($B$1) *(T3))/100</f>
        <v>#REF!</v>
      </c>
      <c r="AD3" s="3"/>
      <c r="AE3" s="4"/>
      <c r="AG3" t="e">
        <f>IF(R3="DOWN",(S3-AA3)/S3*1000,(AA3-S3)/S3*1000)</f>
        <v>#REF!</v>
      </c>
      <c r="AH3" s="5" t="e">
        <f>AB3*(AG3)</f>
        <v>#REF!</v>
      </c>
      <c r="AI3" t="e">
        <f>IF(AK3&lt;V3,"MANTENER","CERRAR")</f>
        <v>#REF!</v>
      </c>
    </row>
    <row r="4" spans="1:37" x14ac:dyDescent="0.55000000000000004">
      <c r="A4" s="3">
        <v>45917</v>
      </c>
      <c r="B4" s="4">
        <v>0.65180555555555553</v>
      </c>
      <c r="C4" t="s">
        <v>26</v>
      </c>
      <c r="D4" t="e">
        <f>IF(COUNTIF(#REF!,"&lt;&gt;NAN")=0, 0, IF(AND(OR(#REF!=#REF!,#REF!="NAN"), OR(#REF!=#REF!,#REF!="NAN"), OR(#REF!=#REF!,#REF!="NAN")),#REF!, 0))</f>
        <v>#REF!</v>
      </c>
      <c r="E4" t="e">
        <f>IF(#REF!="NAN","",IF(
   AND(OR(#REF!=#REF!,#REF!="NAN"),
     OR(#REF!=#REF!,#REF!="NAN"),
     OR(#REF!=#REF!,#REF!="NAN")),
   1,
   0))</f>
        <v>#REF!</v>
      </c>
      <c r="G4" t="e">
        <f>IF(OR(#REF!="UP",#REF!="DOWN"),1,0)</f>
        <v>#REF!</v>
      </c>
      <c r="H4" t="e">
        <f>IF(OR(#REF!="UP",#REF!="DOWN"),1,0)</f>
        <v>#REF!</v>
      </c>
      <c r="I4" t="e">
        <f>IF(OR(#REF!="UP",#REF!="DOWN"),1,0)</f>
        <v>#REF!</v>
      </c>
      <c r="M4" t="e">
        <f>IF(OR(#REF!="UP",#REF!="DOWN"),1,1)</f>
        <v>#REF!</v>
      </c>
      <c r="N4" t="e">
        <f>IF(OR(#REF!="UP",#REF!="DOWN"),VLOOKUP($C4,Configuración!$H$2:$K$11,3),1)</f>
        <v>#REF!</v>
      </c>
      <c r="O4" t="e">
        <f>IF(OR(#REF!="UP",#REF!="DOWN"),VLOOKUP($C4,Configuración!$H$2:$K$11,4),1)</f>
        <v>#REF!</v>
      </c>
      <c r="P4" t="e">
        <f t="shared" ref="P4:P67" si="0">IF(SUM(G4:I4)=0,
    0,
    IF(SUM(G4:I4)=1,
        G4*M4 + H4*N4 + I4*O4,
        IF(SUM(G4:I4)=2,
            1 - PRODUCT(
                IF(G4=1,1-M4,1),
                IF(H4=1,1-N4,1),
                IF(I4=1,1-O4,1)
            ),
            IF(SUM(G4:I4)=3,
                1 - PRODUCT(1-M4,1-N4,1-O4),
                0
            )
        )
    )
)</f>
        <v>#REF!</v>
      </c>
      <c r="Q4" t="e">
        <f t="shared" ref="Q4:Q67" si="1">P4*E4</f>
        <v>#REF!</v>
      </c>
      <c r="R4" t="e">
        <f t="shared" ref="R4:R67" si="2">IF(AND(OR(D4="UP",D4="DOWN"), Q4&gt;0.95), D4, 0)</f>
        <v>#REF!</v>
      </c>
      <c r="T4" t="e">
        <f>IF(R4&lt;&gt;0,Configuración!$E$2,0)</f>
        <v>#REF!</v>
      </c>
      <c r="U4" t="e">
        <f>IF(R4&lt;&gt;0,Configuración!$F$2,0)</f>
        <v>#REF!</v>
      </c>
      <c r="V4" t="e">
        <f>IF(R4&lt;&gt;0,Configuración!$G$2,0)</f>
        <v>#REF!</v>
      </c>
      <c r="W4" t="e">
        <f t="shared" ref="W4:W67" si="3">IF(R4="DOWN",S4+(S4*T4/100),S4-(S4*T4/100))</f>
        <v>#REF!</v>
      </c>
      <c r="X4" t="e">
        <f t="shared" ref="X4:X67" si="4">IF(R4="DOWN",S4-(S4*U4/100),S4+(S4*U4/100))</f>
        <v>#REF!</v>
      </c>
      <c r="Z4" t="e">
        <f t="shared" ref="Z4:Z67" si="5">IF(R4="DOWN",IF(Y4 &lt; S4 * (1 - 0.01), Y4 * (1 + 0.005), ""),IF(Y4 &gt; S4 * (1 + 0.01), Y4 * (1 - 0.005), ""))</f>
        <v>#REF!</v>
      </c>
      <c r="AB4" t="e">
        <f t="shared" ref="AB4:AB67" si="6">(($B$1) *(T4))/100</f>
        <v>#REF!</v>
      </c>
      <c r="AC4" t="e">
        <f>IF(AH4&gt;0,"WIN",IF(AH4&lt;0,"LOSS","BREAKEVEN"))</f>
        <v>#REF!</v>
      </c>
      <c r="AG4" t="e">
        <f t="shared" ref="AG4:AG67" si="7">IF(R4="DOWN",(S4-AA4)/S4*1000,(AA4-S4)/S4*1000)</f>
        <v>#REF!</v>
      </c>
      <c r="AH4" s="5" t="e">
        <f t="shared" ref="AH4:AH67" si="8">AB4*(AG4)</f>
        <v>#REF!</v>
      </c>
      <c r="AI4" t="e">
        <f t="shared" ref="AI4:AI67" si="9">IF(AK4&lt;V4,"MANTENER","CERRAR")</f>
        <v>#REF!</v>
      </c>
    </row>
    <row r="5" spans="1:37" x14ac:dyDescent="0.55000000000000004">
      <c r="A5" s="3">
        <v>45917</v>
      </c>
      <c r="B5" s="4">
        <v>0.63921296296296293</v>
      </c>
      <c r="C5" t="s">
        <v>33</v>
      </c>
      <c r="D5" t="e">
        <f>IF(COUNTIF(#REF!,"&lt;&gt;NAN")=0, 0, IF(AND(OR(#REF!=#REF!,#REF!="NAN"), OR(#REF!=#REF!,#REF!="NAN"), OR(#REF!=#REF!,#REF!="NAN")),#REF!, 0))</f>
        <v>#REF!</v>
      </c>
      <c r="E5" t="e">
        <f>IF(#REF!="NAN","",IF(
   AND(OR(#REF!=#REF!,#REF!="NAN"),
     OR(#REF!=#REF!,#REF!="NAN"),
     OR(#REF!=#REF!,#REF!="NAN")),
   1,
   0))</f>
        <v>#REF!</v>
      </c>
      <c r="G5" t="e">
        <f>IF(OR(#REF!="UP",#REF!="DOWN"),1,0)</f>
        <v>#REF!</v>
      </c>
      <c r="H5" t="e">
        <f>IF(OR(#REF!="UP",#REF!="DOWN"),1,0)</f>
        <v>#REF!</v>
      </c>
      <c r="I5" t="e">
        <f>IF(OR(#REF!="UP",#REF!="DOWN"),1,0)</f>
        <v>#REF!</v>
      </c>
      <c r="M5" t="e">
        <f>IF(OR(#REF!="UP",#REF!="DOWN"),1,1)</f>
        <v>#REF!</v>
      </c>
      <c r="N5" t="e">
        <f>IF(OR(#REF!="UP",#REF!="DOWN"),VLOOKUP($C5,Configuración!$H$2:$K$11,3),1)</f>
        <v>#REF!</v>
      </c>
      <c r="O5" t="e">
        <f>IF(OR(#REF!="UP",#REF!="DOWN"),VLOOKUP($C5,Configuración!$H$2:$K$11,4),1)</f>
        <v>#REF!</v>
      </c>
      <c r="P5" t="e">
        <f t="shared" si="0"/>
        <v>#REF!</v>
      </c>
      <c r="Q5" t="e">
        <f t="shared" si="1"/>
        <v>#REF!</v>
      </c>
      <c r="R5" t="e">
        <f t="shared" si="2"/>
        <v>#REF!</v>
      </c>
      <c r="T5" t="e">
        <f>IF(R5&lt;&gt;0,Configuración!$E$2,0)</f>
        <v>#REF!</v>
      </c>
      <c r="U5" t="e">
        <f>IF(R5&lt;&gt;0,Configuración!$F$2,0)</f>
        <v>#REF!</v>
      </c>
      <c r="V5" t="e">
        <f>IF(R5&lt;&gt;0,Configuración!$G$2,0)</f>
        <v>#REF!</v>
      </c>
      <c r="W5" t="e">
        <f t="shared" si="3"/>
        <v>#REF!</v>
      </c>
      <c r="X5" t="e">
        <f t="shared" si="4"/>
        <v>#REF!</v>
      </c>
      <c r="Z5" t="e">
        <f t="shared" si="5"/>
        <v>#REF!</v>
      </c>
      <c r="AB5" t="e">
        <f t="shared" si="6"/>
        <v>#REF!</v>
      </c>
      <c r="AC5" t="e">
        <f>IF(AH5&gt;0,"WIN",IF(AH5&lt;0,"LOSS","BREAKEVEN"))</f>
        <v>#REF!</v>
      </c>
      <c r="AG5" t="e">
        <f t="shared" si="7"/>
        <v>#REF!</v>
      </c>
      <c r="AH5" s="5" t="e">
        <f t="shared" si="8"/>
        <v>#REF!</v>
      </c>
      <c r="AI5" t="e">
        <f t="shared" si="9"/>
        <v>#REF!</v>
      </c>
    </row>
    <row r="6" spans="1:37" x14ac:dyDescent="0.55000000000000004">
      <c r="A6" s="3">
        <v>45917</v>
      </c>
      <c r="B6" s="4">
        <v>0.62662037037036999</v>
      </c>
      <c r="C6" t="s">
        <v>35</v>
      </c>
      <c r="D6" t="e">
        <f>IF(COUNTIF(#REF!,"&lt;&gt;NAN")=0, 0, IF(AND(OR(#REF!=#REF!,#REF!="NAN"), OR(#REF!=#REF!,#REF!="NAN"), OR(#REF!=#REF!,#REF!="NAN")),#REF!, 0))</f>
        <v>#REF!</v>
      </c>
      <c r="E6" t="e">
        <f>IF(#REF!="NAN","",IF(
   AND(OR(#REF!=#REF!,#REF!="NAN"),
     OR(#REF!=#REF!,#REF!="NAN"),
     OR(#REF!=#REF!,#REF!="NAN")),
   1,
   0))</f>
        <v>#REF!</v>
      </c>
      <c r="G6" t="e">
        <f>IF(OR(#REF!="UP",#REF!="DOWN"),1,0)</f>
        <v>#REF!</v>
      </c>
      <c r="H6" t="e">
        <f>IF(OR(#REF!="UP",#REF!="DOWN"),1,0)</f>
        <v>#REF!</v>
      </c>
      <c r="I6" t="e">
        <f>IF(OR(#REF!="UP",#REF!="DOWN"),1,0)</f>
        <v>#REF!</v>
      </c>
      <c r="M6" t="e">
        <f>IF(OR(#REF!="UP",#REF!="DOWN"),1,1)</f>
        <v>#REF!</v>
      </c>
      <c r="N6" t="e">
        <f>IF(OR(#REF!="UP",#REF!="DOWN"),VLOOKUP($C6,Configuración!$H$2:$K$11,3),1)</f>
        <v>#REF!</v>
      </c>
      <c r="O6" t="e">
        <f>IF(OR(#REF!="UP",#REF!="DOWN"),VLOOKUP($C6,Configuración!$H$2:$K$11,4),1)</f>
        <v>#REF!</v>
      </c>
      <c r="P6" t="e">
        <f t="shared" si="0"/>
        <v>#REF!</v>
      </c>
      <c r="Q6" t="e">
        <f t="shared" si="1"/>
        <v>#REF!</v>
      </c>
      <c r="R6" t="e">
        <f t="shared" si="2"/>
        <v>#REF!</v>
      </c>
      <c r="T6" t="e">
        <f>IF(R6&lt;&gt;0,Configuración!$E$2,0)</f>
        <v>#REF!</v>
      </c>
      <c r="U6" t="e">
        <f>IF(R6&lt;&gt;0,Configuración!$F$2,0)</f>
        <v>#REF!</v>
      </c>
      <c r="V6" t="e">
        <f>IF(R6&lt;&gt;0,Configuración!$G$2,0)</f>
        <v>#REF!</v>
      </c>
      <c r="W6" t="e">
        <f t="shared" si="3"/>
        <v>#REF!</v>
      </c>
      <c r="X6" t="e">
        <f t="shared" si="4"/>
        <v>#REF!</v>
      </c>
      <c r="Z6" t="e">
        <f t="shared" si="5"/>
        <v>#REF!</v>
      </c>
      <c r="AB6" t="e">
        <f t="shared" si="6"/>
        <v>#REF!</v>
      </c>
      <c r="AG6" t="e">
        <f t="shared" si="7"/>
        <v>#REF!</v>
      </c>
      <c r="AH6" s="5" t="e">
        <f t="shared" si="8"/>
        <v>#REF!</v>
      </c>
      <c r="AI6" t="e">
        <f t="shared" si="9"/>
        <v>#REF!</v>
      </c>
    </row>
    <row r="7" spans="1:37" x14ac:dyDescent="0.55000000000000004">
      <c r="A7" s="3">
        <v>45917</v>
      </c>
      <c r="B7" s="4">
        <v>0.61402777777777795</v>
      </c>
      <c r="C7" t="s">
        <v>34</v>
      </c>
      <c r="D7" t="e">
        <f>IF(COUNTIF(#REF!,"&lt;&gt;NAN")=0, 0, IF(AND(OR(#REF!=#REF!,#REF!="NAN"), OR(#REF!=#REF!,#REF!="NAN"), OR(#REF!=#REF!,#REF!="NAN")),#REF!, 0))</f>
        <v>#REF!</v>
      </c>
      <c r="E7" t="e">
        <f>IF(#REF!="NAN","",IF(
   AND(OR(#REF!=#REF!,#REF!="NAN"),
     OR(#REF!=#REF!,#REF!="NAN"),
     OR(#REF!=#REF!,#REF!="NAN")),
   1,
   0))</f>
        <v>#REF!</v>
      </c>
      <c r="G7" t="e">
        <f>IF(OR(#REF!="UP",#REF!="DOWN"),1,0)</f>
        <v>#REF!</v>
      </c>
      <c r="H7" t="e">
        <f>IF(OR(#REF!="UP",#REF!="DOWN"),1,0)</f>
        <v>#REF!</v>
      </c>
      <c r="I7" t="e">
        <f>IF(OR(#REF!="UP",#REF!="DOWN"),1,0)</f>
        <v>#REF!</v>
      </c>
      <c r="M7" t="e">
        <f>IF(OR(#REF!="UP",#REF!="DOWN"),1,1)</f>
        <v>#REF!</v>
      </c>
      <c r="N7" t="e">
        <f>IF(OR(#REF!="UP",#REF!="DOWN"),VLOOKUP($C7,Configuración!$H$2:$K$11,3),1)</f>
        <v>#REF!</v>
      </c>
      <c r="O7" t="e">
        <f>IF(OR(#REF!="UP",#REF!="DOWN"),VLOOKUP($C7,Configuración!$H$2:$K$11,4),1)</f>
        <v>#REF!</v>
      </c>
      <c r="P7" t="e">
        <f t="shared" si="0"/>
        <v>#REF!</v>
      </c>
      <c r="Q7" t="e">
        <f t="shared" si="1"/>
        <v>#REF!</v>
      </c>
      <c r="R7" t="e">
        <f t="shared" si="2"/>
        <v>#REF!</v>
      </c>
      <c r="T7" t="e">
        <f>IF(R7&lt;&gt;0,Configuración!$E$2,0)</f>
        <v>#REF!</v>
      </c>
      <c r="U7" t="e">
        <f>IF(R7&lt;&gt;0,Configuración!$F$2,0)</f>
        <v>#REF!</v>
      </c>
      <c r="V7" t="e">
        <f>IF(R7&lt;&gt;0,Configuración!$G$2,0)</f>
        <v>#REF!</v>
      </c>
      <c r="W7" t="e">
        <f t="shared" si="3"/>
        <v>#REF!</v>
      </c>
      <c r="X7" t="e">
        <f t="shared" si="4"/>
        <v>#REF!</v>
      </c>
      <c r="Z7" t="e">
        <f t="shared" si="5"/>
        <v>#REF!</v>
      </c>
      <c r="AB7" t="e">
        <f t="shared" si="6"/>
        <v>#REF!</v>
      </c>
      <c r="AG7" t="e">
        <f t="shared" si="7"/>
        <v>#REF!</v>
      </c>
      <c r="AH7" s="5" t="e">
        <f t="shared" si="8"/>
        <v>#REF!</v>
      </c>
      <c r="AI7" t="e">
        <f t="shared" si="9"/>
        <v>#REF!</v>
      </c>
    </row>
    <row r="8" spans="1:37" x14ac:dyDescent="0.55000000000000004">
      <c r="A8" s="3">
        <v>45917</v>
      </c>
      <c r="B8" s="4">
        <v>0.60143518518518502</v>
      </c>
      <c r="C8" t="s">
        <v>27</v>
      </c>
      <c r="D8" t="e">
        <f>IF(COUNTIF(#REF!,"&lt;&gt;NAN")=0, 0, IF(AND(OR(#REF!=#REF!,#REF!="NAN"), OR(#REF!=#REF!,#REF!="NAN"), OR(#REF!=#REF!,#REF!="NAN")),#REF!, 0))</f>
        <v>#REF!</v>
      </c>
      <c r="E8" t="e">
        <f>IF(#REF!="NAN","",IF(
   AND(OR(#REF!=#REF!,#REF!="NAN"),
     OR(#REF!=#REF!,#REF!="NAN"),
     OR(#REF!=#REF!,#REF!="NAN")),
   1,
   0))</f>
        <v>#REF!</v>
      </c>
      <c r="G8" t="e">
        <f>IF(OR(#REF!="UP",#REF!="DOWN"),1,0)</f>
        <v>#REF!</v>
      </c>
      <c r="H8" t="e">
        <f>IF(OR(#REF!="UP",#REF!="DOWN"),1,0)</f>
        <v>#REF!</v>
      </c>
      <c r="I8" t="e">
        <f>IF(OR(#REF!="UP",#REF!="DOWN"),1,0)</f>
        <v>#REF!</v>
      </c>
      <c r="M8" t="e">
        <f>IF(OR(#REF!="UP",#REF!="DOWN"),1,1)</f>
        <v>#REF!</v>
      </c>
      <c r="N8" t="e">
        <f>IF(OR(#REF!="UP",#REF!="DOWN"),VLOOKUP($C8,Configuración!$H$2:$K$11,3),1)</f>
        <v>#REF!</v>
      </c>
      <c r="O8" t="e">
        <f>IF(OR(#REF!="UP",#REF!="DOWN"),VLOOKUP($C8,Configuración!$H$2:$K$11,4),1)</f>
        <v>#REF!</v>
      </c>
      <c r="P8" t="e">
        <f t="shared" si="0"/>
        <v>#REF!</v>
      </c>
      <c r="Q8" t="e">
        <f t="shared" si="1"/>
        <v>#REF!</v>
      </c>
      <c r="R8" t="e">
        <f t="shared" si="2"/>
        <v>#REF!</v>
      </c>
      <c r="T8" t="e">
        <f>IF(R8&lt;&gt;0,Configuración!$E$2,0)</f>
        <v>#REF!</v>
      </c>
      <c r="U8" t="e">
        <f>IF(R8&lt;&gt;0,Configuración!$F$2,0)</f>
        <v>#REF!</v>
      </c>
      <c r="V8" t="e">
        <f>IF(R8&lt;&gt;0,Configuración!$G$2,0)</f>
        <v>#REF!</v>
      </c>
      <c r="W8" t="e">
        <f t="shared" si="3"/>
        <v>#REF!</v>
      </c>
      <c r="X8" t="e">
        <f t="shared" si="4"/>
        <v>#REF!</v>
      </c>
      <c r="Z8" t="e">
        <f t="shared" si="5"/>
        <v>#REF!</v>
      </c>
      <c r="AB8" t="e">
        <f t="shared" si="6"/>
        <v>#REF!</v>
      </c>
      <c r="AG8" t="e">
        <f t="shared" si="7"/>
        <v>#REF!</v>
      </c>
      <c r="AH8" s="5" t="e">
        <f t="shared" si="8"/>
        <v>#REF!</v>
      </c>
      <c r="AI8" t="e">
        <f t="shared" si="9"/>
        <v>#REF!</v>
      </c>
    </row>
    <row r="9" spans="1:37" x14ac:dyDescent="0.55000000000000004">
      <c r="A9" s="3">
        <v>45917</v>
      </c>
      <c r="B9" s="4">
        <v>0.58884259259259297</v>
      </c>
      <c r="C9" t="s">
        <v>28</v>
      </c>
      <c r="D9" t="e">
        <f>IF(COUNTIF(#REF!,"&lt;&gt;NAN")=0, 0, IF(AND(OR(#REF!=#REF!,#REF!="NAN"), OR(#REF!=#REF!,#REF!="NAN"), OR(#REF!=#REF!,#REF!="NAN")),#REF!, 0))</f>
        <v>#REF!</v>
      </c>
      <c r="E9" t="e">
        <f>IF(#REF!="NAN","",IF(
   AND(OR(#REF!=#REF!,#REF!="NAN"),
     OR(#REF!=#REF!,#REF!="NAN"),
     OR(#REF!=#REF!,#REF!="NAN")),
   1,
   0))</f>
        <v>#REF!</v>
      </c>
      <c r="G9" t="e">
        <f>IF(OR(#REF!="UP",#REF!="DOWN"),1,0)</f>
        <v>#REF!</v>
      </c>
      <c r="H9" t="e">
        <f>IF(OR(#REF!="UP",#REF!="DOWN"),1,0)</f>
        <v>#REF!</v>
      </c>
      <c r="I9" t="e">
        <f>IF(OR(#REF!="UP",#REF!="DOWN"),1,0)</f>
        <v>#REF!</v>
      </c>
      <c r="M9" t="e">
        <f>IF(OR(#REF!="UP",#REF!="DOWN"),1,1)</f>
        <v>#REF!</v>
      </c>
      <c r="N9" t="e">
        <f>IF(OR(#REF!="UP",#REF!="DOWN"),VLOOKUP($C9,Configuración!$H$2:$K$11,3),1)</f>
        <v>#REF!</v>
      </c>
      <c r="O9" t="e">
        <f>IF(OR(#REF!="UP",#REF!="DOWN"),VLOOKUP($C9,Configuración!$H$2:$K$11,4),1)</f>
        <v>#REF!</v>
      </c>
      <c r="P9" t="e">
        <f t="shared" si="0"/>
        <v>#REF!</v>
      </c>
      <c r="Q9" t="e">
        <f t="shared" si="1"/>
        <v>#REF!</v>
      </c>
      <c r="R9" t="e">
        <f t="shared" si="2"/>
        <v>#REF!</v>
      </c>
      <c r="T9" t="e">
        <f>IF(R9&lt;&gt;0,Configuración!$E$2,0)</f>
        <v>#REF!</v>
      </c>
      <c r="U9" t="e">
        <f>IF(R9&lt;&gt;0,Configuración!$F$2,0)</f>
        <v>#REF!</v>
      </c>
      <c r="V9" t="e">
        <f>IF(R9&lt;&gt;0,Configuración!$G$2,0)</f>
        <v>#REF!</v>
      </c>
      <c r="W9" t="e">
        <f t="shared" si="3"/>
        <v>#REF!</v>
      </c>
      <c r="X9" t="e">
        <f t="shared" si="4"/>
        <v>#REF!</v>
      </c>
      <c r="Z9" t="e">
        <f t="shared" si="5"/>
        <v>#REF!</v>
      </c>
      <c r="AB9" t="e">
        <f t="shared" si="6"/>
        <v>#REF!</v>
      </c>
      <c r="AG9" t="e">
        <f t="shared" si="7"/>
        <v>#REF!</v>
      </c>
      <c r="AH9" s="5" t="e">
        <f t="shared" si="8"/>
        <v>#REF!</v>
      </c>
      <c r="AI9" t="e">
        <f t="shared" si="9"/>
        <v>#REF!</v>
      </c>
    </row>
    <row r="10" spans="1:37" x14ac:dyDescent="0.55000000000000004">
      <c r="A10" s="3">
        <v>45917</v>
      </c>
      <c r="B10" s="4">
        <v>0.57625000000000004</v>
      </c>
      <c r="C10" t="s">
        <v>30</v>
      </c>
      <c r="D10" t="e">
        <f>IF(COUNTIF(#REF!,"&lt;&gt;NAN")=0, 0, IF(AND(OR(#REF!=#REF!,#REF!="NAN"), OR(#REF!=#REF!,#REF!="NAN"), OR(#REF!=#REF!,#REF!="NAN")),#REF!, 0))</f>
        <v>#REF!</v>
      </c>
      <c r="E10" t="e">
        <f>IF(#REF!="NAN","",IF(
   AND(OR(#REF!=#REF!,#REF!="NAN"),
     OR(#REF!=#REF!,#REF!="NAN"),
     OR(#REF!=#REF!,#REF!="NAN")),
   1,
   0))</f>
        <v>#REF!</v>
      </c>
      <c r="G10" t="e">
        <f>IF(OR(#REF!="UP",#REF!="DOWN"),1,0)</f>
        <v>#REF!</v>
      </c>
      <c r="H10" t="e">
        <f>IF(OR(#REF!="UP",#REF!="DOWN"),1,0)</f>
        <v>#REF!</v>
      </c>
      <c r="I10" t="e">
        <f>IF(OR(#REF!="UP",#REF!="DOWN"),1,0)</f>
        <v>#REF!</v>
      </c>
      <c r="M10" t="e">
        <f>IF(OR(#REF!="UP",#REF!="DOWN"),1,1)</f>
        <v>#REF!</v>
      </c>
      <c r="N10" t="e">
        <f>IF(OR(#REF!="UP",#REF!="DOWN"),VLOOKUP($C10,Configuración!$H$2:$K$11,3),1)</f>
        <v>#REF!</v>
      </c>
      <c r="O10" t="e">
        <f>IF(OR(#REF!="UP",#REF!="DOWN"),VLOOKUP($C10,Configuración!$H$2:$K$11,4),1)</f>
        <v>#REF!</v>
      </c>
      <c r="P10" t="e">
        <f t="shared" si="0"/>
        <v>#REF!</v>
      </c>
      <c r="Q10" t="e">
        <f t="shared" si="1"/>
        <v>#REF!</v>
      </c>
      <c r="R10" t="e">
        <f t="shared" si="2"/>
        <v>#REF!</v>
      </c>
      <c r="T10" t="e">
        <f>IF(R10&lt;&gt;0,Configuración!$E$2,0)</f>
        <v>#REF!</v>
      </c>
      <c r="U10" t="e">
        <f>IF(R10&lt;&gt;0,Configuración!$F$2,0)</f>
        <v>#REF!</v>
      </c>
      <c r="V10" t="e">
        <f>IF(R10&lt;&gt;0,Configuración!$G$2,0)</f>
        <v>#REF!</v>
      </c>
      <c r="W10" t="e">
        <f t="shared" si="3"/>
        <v>#REF!</v>
      </c>
      <c r="X10" t="e">
        <f t="shared" si="4"/>
        <v>#REF!</v>
      </c>
      <c r="Z10" t="e">
        <f t="shared" si="5"/>
        <v>#REF!</v>
      </c>
      <c r="AB10" t="e">
        <f t="shared" si="6"/>
        <v>#REF!</v>
      </c>
      <c r="AG10" t="e">
        <f t="shared" si="7"/>
        <v>#REF!</v>
      </c>
      <c r="AH10" s="5" t="e">
        <f t="shared" si="8"/>
        <v>#REF!</v>
      </c>
      <c r="AI10" t="e">
        <f t="shared" si="9"/>
        <v>#REF!</v>
      </c>
    </row>
    <row r="11" spans="1:37" x14ac:dyDescent="0.55000000000000004">
      <c r="A11" s="3">
        <v>45917</v>
      </c>
      <c r="B11" s="4">
        <v>0.563657407407407</v>
      </c>
      <c r="C11" t="s">
        <v>29</v>
      </c>
      <c r="D11" t="e">
        <f>IF(COUNTIF(#REF!,"&lt;&gt;NAN")=0, 0, IF(AND(OR(#REF!=#REF!,#REF!="NAN"), OR(#REF!=#REF!,#REF!="NAN"), OR(#REF!=#REF!,#REF!="NAN")),#REF!, 0))</f>
        <v>#REF!</v>
      </c>
      <c r="E11" t="e">
        <f>IF(#REF!="NAN","",IF(
   AND(OR(#REF!=#REF!,#REF!="NAN"),
     OR(#REF!=#REF!,#REF!="NAN"),
     OR(#REF!=#REF!,#REF!="NAN")),
   1,
   0))</f>
        <v>#REF!</v>
      </c>
      <c r="G11" t="e">
        <f>IF(OR(#REF!="UP",#REF!="DOWN"),1,0)</f>
        <v>#REF!</v>
      </c>
      <c r="H11" t="e">
        <f>IF(OR(#REF!="UP",#REF!="DOWN"),1,0)</f>
        <v>#REF!</v>
      </c>
      <c r="I11" t="e">
        <f>IF(OR(#REF!="UP",#REF!="DOWN"),1,0)</f>
        <v>#REF!</v>
      </c>
      <c r="M11" t="e">
        <f>IF(OR(#REF!="UP",#REF!="DOWN"),1,1)</f>
        <v>#REF!</v>
      </c>
      <c r="N11" t="e">
        <f>IF(OR(#REF!="UP",#REF!="DOWN"),VLOOKUP($C11,Configuración!$H$2:$K$11,3),1)</f>
        <v>#REF!</v>
      </c>
      <c r="O11" t="e">
        <f>IF(OR(#REF!="UP",#REF!="DOWN"),VLOOKUP($C11,Configuración!$H$2:$K$11,4),1)</f>
        <v>#REF!</v>
      </c>
      <c r="P11" t="e">
        <f t="shared" si="0"/>
        <v>#REF!</v>
      </c>
      <c r="Q11" t="e">
        <f t="shared" si="1"/>
        <v>#REF!</v>
      </c>
      <c r="R11" t="e">
        <f t="shared" si="2"/>
        <v>#REF!</v>
      </c>
      <c r="T11" t="e">
        <f>IF(R11&lt;&gt;0,Configuración!$E$2,0)</f>
        <v>#REF!</v>
      </c>
      <c r="U11" t="e">
        <f>IF(R11&lt;&gt;0,Configuración!$F$2,0)</f>
        <v>#REF!</v>
      </c>
      <c r="V11" t="e">
        <f>IF(R11&lt;&gt;0,Configuración!$G$2,0)</f>
        <v>#REF!</v>
      </c>
      <c r="W11" t="e">
        <f t="shared" si="3"/>
        <v>#REF!</v>
      </c>
      <c r="X11" t="e">
        <f t="shared" si="4"/>
        <v>#REF!</v>
      </c>
      <c r="Z11" t="e">
        <f t="shared" si="5"/>
        <v>#REF!</v>
      </c>
      <c r="AB11" t="e">
        <f t="shared" si="6"/>
        <v>#REF!</v>
      </c>
      <c r="AC11" t="e">
        <f>IF(AH11&gt;0,"WIN",IF(AH11&lt;0,"LOSS","BREAKEVEN"))</f>
        <v>#REF!</v>
      </c>
      <c r="AG11" t="e">
        <f t="shared" si="7"/>
        <v>#REF!</v>
      </c>
      <c r="AH11" s="5" t="e">
        <f t="shared" si="8"/>
        <v>#REF!</v>
      </c>
      <c r="AI11" t="e">
        <f t="shared" si="9"/>
        <v>#REF!</v>
      </c>
    </row>
    <row r="12" spans="1:37" x14ac:dyDescent="0.55000000000000004">
      <c r="A12" s="3">
        <v>45917</v>
      </c>
      <c r="B12" s="4">
        <v>0.55106481481481495</v>
      </c>
      <c r="C12" t="s">
        <v>31</v>
      </c>
      <c r="D12" t="e">
        <f>IF(COUNTIF(#REF!,"&lt;&gt;NAN")=0, 0, IF(AND(OR(#REF!=#REF!,#REF!="NAN"), OR(#REF!=#REF!,#REF!="NAN"), OR(#REF!=#REF!,#REF!="NAN")),#REF!, 0))</f>
        <v>#REF!</v>
      </c>
      <c r="E12" t="e">
        <f>IF(#REF!="NAN","",IF(
   AND(OR(#REF!=#REF!,#REF!="NAN"),
     OR(#REF!=#REF!,#REF!="NAN"),
     OR(#REF!=#REF!,#REF!="NAN")),
   1,
   0))</f>
        <v>#REF!</v>
      </c>
      <c r="G12" t="e">
        <f>IF(OR(#REF!="UP",#REF!="DOWN"),1,0)</f>
        <v>#REF!</v>
      </c>
      <c r="H12" t="e">
        <f>IF(OR(#REF!="UP",#REF!="DOWN"),1,0)</f>
        <v>#REF!</v>
      </c>
      <c r="I12" t="e">
        <f>IF(OR(#REF!="UP",#REF!="DOWN"),1,0)</f>
        <v>#REF!</v>
      </c>
      <c r="M12" t="e">
        <f>IF(OR(#REF!="UP",#REF!="DOWN"),1,1)</f>
        <v>#REF!</v>
      </c>
      <c r="N12" t="e">
        <f>IF(OR(#REF!="UP",#REF!="DOWN"),VLOOKUP($C12,Configuración!$H$2:$K$11,3),1)</f>
        <v>#REF!</v>
      </c>
      <c r="O12" t="e">
        <f>IF(OR(#REF!="UP",#REF!="DOWN"),VLOOKUP($C12,Configuración!$H$2:$K$11,4),1)</f>
        <v>#REF!</v>
      </c>
      <c r="P12" t="e">
        <f t="shared" si="0"/>
        <v>#REF!</v>
      </c>
      <c r="Q12" t="e">
        <f t="shared" si="1"/>
        <v>#REF!</v>
      </c>
      <c r="R12" t="e">
        <f t="shared" si="2"/>
        <v>#REF!</v>
      </c>
      <c r="T12" t="e">
        <f>IF(R12&lt;&gt;0,Configuración!$E$2,0)</f>
        <v>#REF!</v>
      </c>
      <c r="U12" t="e">
        <f>IF(R12&lt;&gt;0,Configuración!$F$2,0)</f>
        <v>#REF!</v>
      </c>
      <c r="V12" t="e">
        <f>IF(R12&lt;&gt;0,Configuración!$G$2,0)</f>
        <v>#REF!</v>
      </c>
      <c r="W12" t="e">
        <f t="shared" si="3"/>
        <v>#REF!</v>
      </c>
      <c r="X12" t="e">
        <f t="shared" si="4"/>
        <v>#REF!</v>
      </c>
      <c r="Z12" t="e">
        <f t="shared" si="5"/>
        <v>#REF!</v>
      </c>
      <c r="AB12" t="e">
        <f t="shared" si="6"/>
        <v>#REF!</v>
      </c>
      <c r="AG12" t="e">
        <f t="shared" si="7"/>
        <v>#REF!</v>
      </c>
      <c r="AH12" s="5" t="e">
        <f t="shared" si="8"/>
        <v>#REF!</v>
      </c>
      <c r="AI12" t="e">
        <f t="shared" si="9"/>
        <v>#REF!</v>
      </c>
    </row>
    <row r="13" spans="1:37" x14ac:dyDescent="0.55000000000000004">
      <c r="A13" s="3">
        <v>45918</v>
      </c>
      <c r="B13" s="4">
        <v>0.625</v>
      </c>
      <c r="C13" t="s">
        <v>32</v>
      </c>
      <c r="D13" t="e">
        <f>IF(COUNTIF(#REF!,"&lt;&gt;NAN")=0, 0, IF(AND(OR(#REF!=#REF!,#REF!="NAN"), OR(#REF!=#REF!,#REF!="NAN"), OR(#REF!=#REF!,#REF!="NAN")),#REF!, 0))</f>
        <v>#REF!</v>
      </c>
      <c r="E13" t="e">
        <f>IF(#REF!="NAN","",IF(
   AND(OR(#REF!=#REF!,#REF!="NAN"),
     OR(#REF!=#REF!,#REF!="NAN"),
     OR(#REF!=#REF!,#REF!="NAN")),
   1,
   0))</f>
        <v>#REF!</v>
      </c>
      <c r="G13" t="e">
        <f>IF(OR(#REF!="UP",#REF!="DOWN"),1,0)</f>
        <v>#REF!</v>
      </c>
      <c r="H13" t="e">
        <f>IF(OR(#REF!="UP",#REF!="DOWN"),1,0)</f>
        <v>#REF!</v>
      </c>
      <c r="I13" t="e">
        <f>IF(OR(#REF!="UP",#REF!="DOWN"),1,0)</f>
        <v>#REF!</v>
      </c>
      <c r="M13" t="e">
        <f>IF(OR(#REF!="UP",#REF!="DOWN"),1,1)</f>
        <v>#REF!</v>
      </c>
      <c r="N13" t="e">
        <f>IF(OR(#REF!="UP",#REF!="DOWN"),VLOOKUP($C13,Configuración!$H$2:$K$11,3),1)</f>
        <v>#REF!</v>
      </c>
      <c r="O13" t="e">
        <f>IF(OR(#REF!="UP",#REF!="DOWN"),VLOOKUP($C13,Configuración!$H$2:$K$11,4),1)</f>
        <v>#REF!</v>
      </c>
      <c r="P13" t="e">
        <f t="shared" si="0"/>
        <v>#REF!</v>
      </c>
      <c r="Q13" t="e">
        <f t="shared" si="1"/>
        <v>#REF!</v>
      </c>
      <c r="R13" t="e">
        <f t="shared" si="2"/>
        <v>#REF!</v>
      </c>
      <c r="T13" t="e">
        <f>IF(R13&lt;&gt;0,Configuración!$E$2,0)</f>
        <v>#REF!</v>
      </c>
      <c r="U13" t="e">
        <f>IF(R13&lt;&gt;0,Configuración!$F$2,0)</f>
        <v>#REF!</v>
      </c>
      <c r="V13" t="e">
        <f>IF(R13&lt;&gt;0,Configuración!$G$2,0)</f>
        <v>#REF!</v>
      </c>
      <c r="W13" t="e">
        <f t="shared" si="3"/>
        <v>#REF!</v>
      </c>
      <c r="X13" t="e">
        <f t="shared" si="4"/>
        <v>#REF!</v>
      </c>
      <c r="Z13" t="e">
        <f t="shared" si="5"/>
        <v>#REF!</v>
      </c>
      <c r="AB13" t="e">
        <f t="shared" si="6"/>
        <v>#REF!</v>
      </c>
      <c r="AG13" t="e">
        <f t="shared" si="7"/>
        <v>#REF!</v>
      </c>
      <c r="AH13" s="5" t="e">
        <f t="shared" si="8"/>
        <v>#REF!</v>
      </c>
      <c r="AI13" t="e">
        <f t="shared" si="9"/>
        <v>#REF!</v>
      </c>
    </row>
    <row r="14" spans="1:37" x14ac:dyDescent="0.55000000000000004">
      <c r="A14" s="3">
        <v>45918</v>
      </c>
      <c r="B14" s="4">
        <v>0.625</v>
      </c>
      <c r="C14" t="s">
        <v>26</v>
      </c>
      <c r="D14" t="e">
        <f>IF(COUNTIF(#REF!,"&lt;&gt;NAN")=0, 0, IF(AND(OR(#REF!=#REF!,#REF!="NAN"), OR(#REF!=#REF!,#REF!="NAN"), OR(#REF!=#REF!,#REF!="NAN")),#REF!, 0))</f>
        <v>#REF!</v>
      </c>
      <c r="E14" t="e">
        <f>IF(#REF!="NAN","",IF(
   AND(OR(#REF!=#REF!,#REF!="NAN"),
     OR(#REF!=#REF!,#REF!="NAN"),
     OR(#REF!=#REF!,#REF!="NAN")),
   1,
   0))</f>
        <v>#REF!</v>
      </c>
      <c r="G14" t="e">
        <f>IF(OR(#REF!="UP",#REF!="DOWN"),1,0)</f>
        <v>#REF!</v>
      </c>
      <c r="H14" t="e">
        <f>IF(OR(#REF!="UP",#REF!="DOWN"),1,0)</f>
        <v>#REF!</v>
      </c>
      <c r="I14" t="e">
        <f>IF(OR(#REF!="UP",#REF!="DOWN"),1,0)</f>
        <v>#REF!</v>
      </c>
      <c r="M14" t="e">
        <f>IF(OR(#REF!="UP",#REF!="DOWN"),1,1)</f>
        <v>#REF!</v>
      </c>
      <c r="N14" t="e">
        <f>IF(OR(#REF!="UP",#REF!="DOWN"),VLOOKUP($C14,Configuración!$H$2:$K$11,3),1)</f>
        <v>#REF!</v>
      </c>
      <c r="O14" t="e">
        <f>IF(OR(#REF!="UP",#REF!="DOWN"),VLOOKUP($C14,Configuración!$H$2:$K$11,4),1)</f>
        <v>#REF!</v>
      </c>
      <c r="P14" t="e">
        <f t="shared" si="0"/>
        <v>#REF!</v>
      </c>
      <c r="Q14" t="e">
        <f t="shared" si="1"/>
        <v>#REF!</v>
      </c>
      <c r="R14" t="e">
        <f t="shared" si="2"/>
        <v>#REF!</v>
      </c>
      <c r="T14" t="e">
        <f>IF(R14&lt;&gt;0,Configuración!$E$2,0)</f>
        <v>#REF!</v>
      </c>
      <c r="U14" t="e">
        <f>IF(R14&lt;&gt;0,Configuración!$F$2,0)</f>
        <v>#REF!</v>
      </c>
      <c r="V14" t="e">
        <f>IF(R14&lt;&gt;0,Configuración!$G$2,0)</f>
        <v>#REF!</v>
      </c>
      <c r="W14" t="e">
        <f t="shared" si="3"/>
        <v>#REF!</v>
      </c>
      <c r="X14" t="e">
        <f t="shared" si="4"/>
        <v>#REF!</v>
      </c>
      <c r="Z14" t="e">
        <f t="shared" si="5"/>
        <v>#REF!</v>
      </c>
      <c r="AB14" t="e">
        <f t="shared" si="6"/>
        <v>#REF!</v>
      </c>
      <c r="AG14" t="e">
        <f t="shared" si="7"/>
        <v>#REF!</v>
      </c>
      <c r="AH14" s="5" t="e">
        <f t="shared" si="8"/>
        <v>#REF!</v>
      </c>
      <c r="AI14" t="e">
        <f t="shared" si="9"/>
        <v>#REF!</v>
      </c>
    </row>
    <row r="15" spans="1:37" x14ac:dyDescent="0.55000000000000004">
      <c r="A15" s="3">
        <v>45918</v>
      </c>
      <c r="B15" s="4">
        <v>0.625</v>
      </c>
      <c r="C15" t="s">
        <v>33</v>
      </c>
      <c r="D15" t="e">
        <f>IF(COUNTIF(#REF!,"&lt;&gt;NAN")=0, 0, IF(AND(OR(#REF!=#REF!,#REF!="NAN"), OR(#REF!=#REF!,#REF!="NAN"), OR(#REF!=#REF!,#REF!="NAN")),#REF!, 0))</f>
        <v>#REF!</v>
      </c>
      <c r="E15" t="e">
        <f>IF(#REF!="NAN","",IF(
   AND(OR(#REF!=#REF!,#REF!="NAN"),
     OR(#REF!=#REF!,#REF!="NAN"),
     OR(#REF!=#REF!,#REF!="NAN")),
   1,
   0))</f>
        <v>#REF!</v>
      </c>
      <c r="G15" t="e">
        <f>IF(OR(#REF!="UP",#REF!="DOWN"),1,0)</f>
        <v>#REF!</v>
      </c>
      <c r="H15" t="e">
        <f>IF(OR(#REF!="UP",#REF!="DOWN"),1,0)</f>
        <v>#REF!</v>
      </c>
      <c r="I15" t="e">
        <f>IF(OR(#REF!="UP",#REF!="DOWN"),1,0)</f>
        <v>#REF!</v>
      </c>
      <c r="M15" t="e">
        <f>IF(OR(#REF!="UP",#REF!="DOWN"),1,1)</f>
        <v>#REF!</v>
      </c>
      <c r="N15" t="e">
        <f>IF(OR(#REF!="UP",#REF!="DOWN"),VLOOKUP($C15,Configuración!$H$2:$K$11,3),1)</f>
        <v>#REF!</v>
      </c>
      <c r="O15" t="e">
        <f>IF(OR(#REF!="UP",#REF!="DOWN"),VLOOKUP($C15,Configuración!$H$2:$K$11,4),1)</f>
        <v>#REF!</v>
      </c>
      <c r="P15" t="e">
        <f t="shared" si="0"/>
        <v>#REF!</v>
      </c>
      <c r="Q15" t="e">
        <f t="shared" si="1"/>
        <v>#REF!</v>
      </c>
      <c r="R15" t="e">
        <f t="shared" si="2"/>
        <v>#REF!</v>
      </c>
      <c r="T15" t="e">
        <f>IF(R15&lt;&gt;0,Configuración!$E$2,0)</f>
        <v>#REF!</v>
      </c>
      <c r="U15" t="e">
        <f>IF(R15&lt;&gt;0,Configuración!$F$2,0)</f>
        <v>#REF!</v>
      </c>
      <c r="V15" t="e">
        <f>IF(R15&lt;&gt;0,Configuración!$G$2,0)</f>
        <v>#REF!</v>
      </c>
      <c r="W15" t="e">
        <f t="shared" si="3"/>
        <v>#REF!</v>
      </c>
      <c r="X15" t="e">
        <f t="shared" si="4"/>
        <v>#REF!</v>
      </c>
      <c r="Z15" t="e">
        <f t="shared" si="5"/>
        <v>#REF!</v>
      </c>
      <c r="AB15" t="e">
        <f t="shared" si="6"/>
        <v>#REF!</v>
      </c>
      <c r="AG15" t="e">
        <f t="shared" si="7"/>
        <v>#REF!</v>
      </c>
      <c r="AH15" s="5" t="e">
        <f t="shared" si="8"/>
        <v>#REF!</v>
      </c>
      <c r="AI15" t="e">
        <f t="shared" si="9"/>
        <v>#REF!</v>
      </c>
    </row>
    <row r="16" spans="1:37" x14ac:dyDescent="0.55000000000000004">
      <c r="A16" s="3">
        <v>45918</v>
      </c>
      <c r="B16" s="4">
        <v>0.625</v>
      </c>
      <c r="C16" t="s">
        <v>35</v>
      </c>
      <c r="D16" t="e">
        <f>IF(COUNTIF(#REF!,"&lt;&gt;NAN")=0, 0, IF(AND(OR(#REF!=#REF!,#REF!="NAN"), OR(#REF!=#REF!,#REF!="NAN"), OR(#REF!=#REF!,#REF!="NAN")),#REF!, 0))</f>
        <v>#REF!</v>
      </c>
      <c r="E16" t="e">
        <f>IF(#REF!="NAN","",IF(
   AND(OR(#REF!=#REF!,#REF!="NAN"),
     OR(#REF!=#REF!,#REF!="NAN"),
     OR(#REF!=#REF!,#REF!="NAN")),
   1,
   0))</f>
        <v>#REF!</v>
      </c>
      <c r="G16" t="e">
        <f>IF(OR(#REF!="UP",#REF!="DOWN"),1,0)</f>
        <v>#REF!</v>
      </c>
      <c r="H16" t="e">
        <f>IF(OR(#REF!="UP",#REF!="DOWN"),1,0)</f>
        <v>#REF!</v>
      </c>
      <c r="I16" t="e">
        <f>IF(OR(#REF!="UP",#REF!="DOWN"),1,0)</f>
        <v>#REF!</v>
      </c>
      <c r="M16" t="e">
        <f>IF(OR(#REF!="UP",#REF!="DOWN"),1,1)</f>
        <v>#REF!</v>
      </c>
      <c r="N16" t="e">
        <f>IF(OR(#REF!="UP",#REF!="DOWN"),VLOOKUP($C16,Configuración!$H$2:$K$11,3),1)</f>
        <v>#REF!</v>
      </c>
      <c r="O16" t="e">
        <f>IF(OR(#REF!="UP",#REF!="DOWN"),VLOOKUP($C16,Configuración!$H$2:$K$11,4),1)</f>
        <v>#REF!</v>
      </c>
      <c r="P16" t="e">
        <f t="shared" si="0"/>
        <v>#REF!</v>
      </c>
      <c r="Q16" t="e">
        <f t="shared" si="1"/>
        <v>#REF!</v>
      </c>
      <c r="R16" t="e">
        <f t="shared" si="2"/>
        <v>#REF!</v>
      </c>
      <c r="T16" t="e">
        <f>IF(R16&lt;&gt;0,Configuración!$E$2,0)</f>
        <v>#REF!</v>
      </c>
      <c r="U16" t="e">
        <f>IF(R16&lt;&gt;0,Configuración!$F$2,0)</f>
        <v>#REF!</v>
      </c>
      <c r="V16" t="e">
        <f>IF(R16&lt;&gt;0,Configuración!$G$2,0)</f>
        <v>#REF!</v>
      </c>
      <c r="W16" t="e">
        <f t="shared" si="3"/>
        <v>#REF!</v>
      </c>
      <c r="X16" t="e">
        <f t="shared" si="4"/>
        <v>#REF!</v>
      </c>
      <c r="Z16" t="e">
        <f t="shared" si="5"/>
        <v>#REF!</v>
      </c>
      <c r="AB16" t="e">
        <f t="shared" si="6"/>
        <v>#REF!</v>
      </c>
      <c r="AG16" t="e">
        <f t="shared" si="7"/>
        <v>#REF!</v>
      </c>
      <c r="AH16" s="5" t="e">
        <f t="shared" si="8"/>
        <v>#REF!</v>
      </c>
      <c r="AI16" t="e">
        <f t="shared" si="9"/>
        <v>#REF!</v>
      </c>
    </row>
    <row r="17" spans="1:37" x14ac:dyDescent="0.55000000000000004">
      <c r="A17" s="3">
        <v>45918</v>
      </c>
      <c r="B17" s="4">
        <v>0.625</v>
      </c>
      <c r="C17" t="s">
        <v>34</v>
      </c>
      <c r="D17" t="e">
        <f>IF(COUNTIF(#REF!,"&lt;&gt;NAN")=0, 0, IF(AND(OR(#REF!=#REF!,#REF!="NAN"), OR(#REF!=#REF!,#REF!="NAN"), OR(#REF!=#REF!,#REF!="NAN")),#REF!, 0))</f>
        <v>#REF!</v>
      </c>
      <c r="E17" t="e">
        <f>IF(#REF!="NAN","",IF(
   AND(OR(#REF!=#REF!,#REF!="NAN"),
     OR(#REF!=#REF!,#REF!="NAN"),
     OR(#REF!=#REF!,#REF!="NAN")),
   1,
   0))</f>
        <v>#REF!</v>
      </c>
      <c r="G17" t="e">
        <f>IF(OR(#REF!="UP",#REF!="DOWN"),1,0)</f>
        <v>#REF!</v>
      </c>
      <c r="H17" t="e">
        <f>IF(OR(#REF!="UP",#REF!="DOWN"),1,0)</f>
        <v>#REF!</v>
      </c>
      <c r="I17" t="e">
        <f>IF(OR(#REF!="UP",#REF!="DOWN"),1,0)</f>
        <v>#REF!</v>
      </c>
      <c r="M17" t="e">
        <f>IF(OR(#REF!="UP",#REF!="DOWN"),1,1)</f>
        <v>#REF!</v>
      </c>
      <c r="N17" t="e">
        <f>IF(OR(#REF!="UP",#REF!="DOWN"),VLOOKUP($C17,Configuración!$H$2:$K$11,3),1)</f>
        <v>#REF!</v>
      </c>
      <c r="O17" t="e">
        <f>IF(OR(#REF!="UP",#REF!="DOWN"),VLOOKUP($C17,Configuración!$H$2:$K$11,4),1)</f>
        <v>#REF!</v>
      </c>
      <c r="P17" t="e">
        <f t="shared" si="0"/>
        <v>#REF!</v>
      </c>
      <c r="Q17" t="e">
        <f t="shared" si="1"/>
        <v>#REF!</v>
      </c>
      <c r="R17" t="e">
        <f t="shared" si="2"/>
        <v>#REF!</v>
      </c>
      <c r="T17" t="e">
        <f>IF(R17&lt;&gt;0,Configuración!$E$2,0)</f>
        <v>#REF!</v>
      </c>
      <c r="U17" t="e">
        <f>IF(R17&lt;&gt;0,Configuración!$F$2,0)</f>
        <v>#REF!</v>
      </c>
      <c r="V17" t="e">
        <f>IF(R17&lt;&gt;0,Configuración!$G$2,0)</f>
        <v>#REF!</v>
      </c>
      <c r="W17" t="e">
        <f t="shared" si="3"/>
        <v>#REF!</v>
      </c>
      <c r="X17" t="e">
        <f t="shared" si="4"/>
        <v>#REF!</v>
      </c>
      <c r="Z17" t="e">
        <f t="shared" si="5"/>
        <v>#REF!</v>
      </c>
      <c r="AB17" t="e">
        <f t="shared" si="6"/>
        <v>#REF!</v>
      </c>
      <c r="AG17" t="e">
        <f t="shared" si="7"/>
        <v>#REF!</v>
      </c>
      <c r="AH17" s="5" t="e">
        <f t="shared" si="8"/>
        <v>#REF!</v>
      </c>
      <c r="AI17" t="e">
        <f t="shared" si="9"/>
        <v>#REF!</v>
      </c>
    </row>
    <row r="18" spans="1:37" x14ac:dyDescent="0.55000000000000004">
      <c r="A18" s="3">
        <v>45918</v>
      </c>
      <c r="B18" s="4">
        <v>0.625</v>
      </c>
      <c r="C18" t="s">
        <v>26</v>
      </c>
      <c r="D18" t="e">
        <f>IF(COUNTIF(#REF!,"&lt;&gt;NAN")=0, 0, IF(AND(OR(#REF!=#REF!,#REF!="NAN"), OR(#REF!=#REF!,#REF!="NAN"), OR(#REF!=#REF!,#REF!="NAN")),#REF!, 0))</f>
        <v>#REF!</v>
      </c>
      <c r="E18" t="e">
        <f>IF(#REF!="NAN","",IF(
   AND(OR(#REF!=#REF!,#REF!="NAN"),
     OR(#REF!=#REF!,#REF!="NAN"),
     OR(#REF!=#REF!,#REF!="NAN")),
   1,
   0))</f>
        <v>#REF!</v>
      </c>
      <c r="G18" t="e">
        <f>IF(OR(#REF!="UP",#REF!="DOWN"),1,0)</f>
        <v>#REF!</v>
      </c>
      <c r="H18" t="e">
        <f>IF(OR(#REF!="UP",#REF!="DOWN"),1,0)</f>
        <v>#REF!</v>
      </c>
      <c r="I18" t="e">
        <f>IF(OR(#REF!="UP",#REF!="DOWN"),1,0)</f>
        <v>#REF!</v>
      </c>
      <c r="M18" t="e">
        <f>IF(OR(#REF!="UP",#REF!="DOWN"),1,1)</f>
        <v>#REF!</v>
      </c>
      <c r="N18" t="e">
        <f>IF(OR(#REF!="UP",#REF!="DOWN"),VLOOKUP($C18,Configuración!$H$2:$K$11,3),1)</f>
        <v>#REF!</v>
      </c>
      <c r="O18" t="e">
        <f>IF(OR(#REF!="UP",#REF!="DOWN"),VLOOKUP($C18,Configuración!$H$2:$K$11,4),1)</f>
        <v>#REF!</v>
      </c>
      <c r="P18" t="e">
        <f t="shared" si="0"/>
        <v>#REF!</v>
      </c>
      <c r="Q18" t="e">
        <f t="shared" si="1"/>
        <v>#REF!</v>
      </c>
      <c r="R18" t="e">
        <f t="shared" si="2"/>
        <v>#REF!</v>
      </c>
      <c r="T18" t="e">
        <f>IF(R18&lt;&gt;0,Configuración!$E$2,0)</f>
        <v>#REF!</v>
      </c>
      <c r="U18" t="e">
        <f>IF(R18&lt;&gt;0,Configuración!$F$2,0)</f>
        <v>#REF!</v>
      </c>
      <c r="V18" t="e">
        <f>IF(R18&lt;&gt;0,Configuración!$G$2,0)</f>
        <v>#REF!</v>
      </c>
      <c r="W18" t="e">
        <f t="shared" si="3"/>
        <v>#REF!</v>
      </c>
      <c r="X18" t="e">
        <f t="shared" si="4"/>
        <v>#REF!</v>
      </c>
      <c r="Z18" t="e">
        <f t="shared" si="5"/>
        <v>#REF!</v>
      </c>
      <c r="AB18" t="e">
        <f t="shared" si="6"/>
        <v>#REF!</v>
      </c>
      <c r="AG18" t="e">
        <f t="shared" si="7"/>
        <v>#REF!</v>
      </c>
      <c r="AH18" s="5" t="e">
        <f t="shared" si="8"/>
        <v>#REF!</v>
      </c>
      <c r="AI18" t="e">
        <f t="shared" si="9"/>
        <v>#REF!</v>
      </c>
    </row>
    <row r="19" spans="1:37" x14ac:dyDescent="0.55000000000000004">
      <c r="A19" s="3">
        <v>45918</v>
      </c>
      <c r="B19" s="4">
        <v>0.625</v>
      </c>
      <c r="C19" t="s">
        <v>28</v>
      </c>
      <c r="D19" t="e">
        <f>IF(COUNTIF(#REF!,"&lt;&gt;NAN")=0, 0, IF(AND(OR(#REF!=#REF!,#REF!="NAN"), OR(#REF!=#REF!,#REF!="NAN"), OR(#REF!=#REF!,#REF!="NAN")),#REF!, 0))</f>
        <v>#REF!</v>
      </c>
      <c r="E19" t="e">
        <f>IF(#REF!="NAN","",IF(
   AND(OR(#REF!=#REF!,#REF!="NAN"),
     OR(#REF!=#REF!,#REF!="NAN"),
     OR(#REF!=#REF!,#REF!="NAN")),
   1,
   0))</f>
        <v>#REF!</v>
      </c>
      <c r="G19" t="e">
        <f>IF(OR(#REF!="UP",#REF!="DOWN"),1,0)</f>
        <v>#REF!</v>
      </c>
      <c r="H19" t="e">
        <f>IF(OR(#REF!="UP",#REF!="DOWN"),1,0)</f>
        <v>#REF!</v>
      </c>
      <c r="I19" t="e">
        <f>IF(OR(#REF!="UP",#REF!="DOWN"),1,0)</f>
        <v>#REF!</v>
      </c>
      <c r="M19" t="e">
        <f>IF(OR(#REF!="UP",#REF!="DOWN"),1,1)</f>
        <v>#REF!</v>
      </c>
      <c r="N19" t="e">
        <f>IF(OR(#REF!="UP",#REF!="DOWN"),VLOOKUP($C19,Configuración!$H$2:$K$11,3),1)</f>
        <v>#REF!</v>
      </c>
      <c r="O19" t="e">
        <f>IF(OR(#REF!="UP",#REF!="DOWN"),VLOOKUP($C19,Configuración!$H$2:$K$11,4),1)</f>
        <v>#REF!</v>
      </c>
      <c r="P19" t="e">
        <f t="shared" si="0"/>
        <v>#REF!</v>
      </c>
      <c r="Q19" t="e">
        <f t="shared" si="1"/>
        <v>#REF!</v>
      </c>
      <c r="R19" t="e">
        <f t="shared" si="2"/>
        <v>#REF!</v>
      </c>
      <c r="T19" t="e">
        <f>IF(R19&lt;&gt;0,Configuración!$E$2,0)</f>
        <v>#REF!</v>
      </c>
      <c r="U19" t="e">
        <f>IF(R19&lt;&gt;0,Configuración!$F$2,0)</f>
        <v>#REF!</v>
      </c>
      <c r="V19" t="e">
        <f>IF(R19&lt;&gt;0,Configuración!$G$2,0)</f>
        <v>#REF!</v>
      </c>
      <c r="W19" t="e">
        <f t="shared" si="3"/>
        <v>#REF!</v>
      </c>
      <c r="X19" t="e">
        <f t="shared" si="4"/>
        <v>#REF!</v>
      </c>
      <c r="Z19" t="e">
        <f t="shared" si="5"/>
        <v>#REF!</v>
      </c>
      <c r="AB19" t="e">
        <f t="shared" si="6"/>
        <v>#REF!</v>
      </c>
      <c r="AG19" t="e">
        <f t="shared" si="7"/>
        <v>#REF!</v>
      </c>
      <c r="AH19" s="5" t="e">
        <f t="shared" si="8"/>
        <v>#REF!</v>
      </c>
      <c r="AI19" t="e">
        <f t="shared" si="9"/>
        <v>#REF!</v>
      </c>
    </row>
    <row r="20" spans="1:37" x14ac:dyDescent="0.55000000000000004">
      <c r="A20" s="3">
        <v>45918</v>
      </c>
      <c r="B20" s="4">
        <v>0.625</v>
      </c>
      <c r="C20" t="s">
        <v>30</v>
      </c>
      <c r="D20" t="e">
        <f>IF(COUNTIF(#REF!,"&lt;&gt;NAN")=0, 0, IF(AND(OR(#REF!=#REF!,#REF!="NAN"), OR(#REF!=#REF!,#REF!="NAN"), OR(#REF!=#REF!,#REF!="NAN")),#REF!, 0))</f>
        <v>#REF!</v>
      </c>
      <c r="E20" t="e">
        <f>IF(#REF!="NAN","",IF(
   AND(OR(#REF!=#REF!,#REF!="NAN"),
     OR(#REF!=#REF!,#REF!="NAN"),
     OR(#REF!=#REF!,#REF!="NAN")),
   1,
   0))</f>
        <v>#REF!</v>
      </c>
      <c r="G20" t="e">
        <f>IF(OR(#REF!="UP",#REF!="DOWN"),1,0)</f>
        <v>#REF!</v>
      </c>
      <c r="H20" t="e">
        <f>IF(OR(#REF!="UP",#REF!="DOWN"),1,0)</f>
        <v>#REF!</v>
      </c>
      <c r="I20" t="e">
        <f>IF(OR(#REF!="UP",#REF!="DOWN"),1,0)</f>
        <v>#REF!</v>
      </c>
      <c r="M20" t="e">
        <f>IF(OR(#REF!="UP",#REF!="DOWN"),1,1)</f>
        <v>#REF!</v>
      </c>
      <c r="N20" t="e">
        <f>IF(OR(#REF!="UP",#REF!="DOWN"),VLOOKUP($C20,Configuración!$H$2:$K$11,3),1)</f>
        <v>#REF!</v>
      </c>
      <c r="O20" t="e">
        <f>IF(OR(#REF!="UP",#REF!="DOWN"),VLOOKUP($C20,Configuración!$H$2:$K$11,4),1)</f>
        <v>#REF!</v>
      </c>
      <c r="P20" t="e">
        <f t="shared" si="0"/>
        <v>#REF!</v>
      </c>
      <c r="Q20" t="e">
        <f t="shared" si="1"/>
        <v>#REF!</v>
      </c>
      <c r="R20" t="e">
        <f t="shared" si="2"/>
        <v>#REF!</v>
      </c>
      <c r="T20" t="e">
        <f>IF(R20&lt;&gt;0,Configuración!$E$2,0)</f>
        <v>#REF!</v>
      </c>
      <c r="U20" t="e">
        <f>IF(R20&lt;&gt;0,Configuración!$F$2,0)</f>
        <v>#REF!</v>
      </c>
      <c r="V20" t="e">
        <f>IF(R20&lt;&gt;0,Configuración!$G$2,0)</f>
        <v>#REF!</v>
      </c>
      <c r="W20" t="e">
        <f t="shared" si="3"/>
        <v>#REF!</v>
      </c>
      <c r="X20" t="e">
        <f t="shared" si="4"/>
        <v>#REF!</v>
      </c>
      <c r="Z20" t="e">
        <f t="shared" si="5"/>
        <v>#REF!</v>
      </c>
      <c r="AB20" t="e">
        <f t="shared" si="6"/>
        <v>#REF!</v>
      </c>
      <c r="AG20" t="e">
        <f t="shared" si="7"/>
        <v>#REF!</v>
      </c>
      <c r="AH20" s="5" t="e">
        <f t="shared" si="8"/>
        <v>#REF!</v>
      </c>
      <c r="AI20" t="e">
        <f t="shared" si="9"/>
        <v>#REF!</v>
      </c>
    </row>
    <row r="21" spans="1:37" x14ac:dyDescent="0.55000000000000004">
      <c r="A21" s="3">
        <v>45918</v>
      </c>
      <c r="B21" s="4">
        <v>0.625</v>
      </c>
      <c r="C21" t="s">
        <v>29</v>
      </c>
      <c r="D21" t="e">
        <f>IF(COUNTIF(#REF!,"&lt;&gt;NAN")=0, 0, IF(AND(OR(#REF!=#REF!,#REF!="NAN"), OR(#REF!=#REF!,#REF!="NAN"), OR(#REF!=#REF!,#REF!="NAN")),#REF!, 0))</f>
        <v>#REF!</v>
      </c>
      <c r="E21" t="e">
        <f>IF(#REF!="NAN","",IF(
   AND(OR(#REF!=#REF!,#REF!="NAN"),
     OR(#REF!=#REF!,#REF!="NAN"),
     OR(#REF!=#REF!,#REF!="NAN")),
   1,
   0))</f>
        <v>#REF!</v>
      </c>
      <c r="G21" t="e">
        <f>IF(OR(#REF!="UP",#REF!="DOWN"),1,0)</f>
        <v>#REF!</v>
      </c>
      <c r="H21" t="e">
        <f>IF(OR(#REF!="UP",#REF!="DOWN"),1,0)</f>
        <v>#REF!</v>
      </c>
      <c r="I21" t="e">
        <f>IF(OR(#REF!="UP",#REF!="DOWN"),1,0)</f>
        <v>#REF!</v>
      </c>
      <c r="M21" t="e">
        <f>IF(OR(#REF!="UP",#REF!="DOWN"),1,1)</f>
        <v>#REF!</v>
      </c>
      <c r="N21" t="e">
        <f>IF(OR(#REF!="UP",#REF!="DOWN"),VLOOKUP($C21,Configuración!$H$2:$K$11,3),1)</f>
        <v>#REF!</v>
      </c>
      <c r="O21" t="e">
        <f>IF(OR(#REF!="UP",#REF!="DOWN"),VLOOKUP($C21,Configuración!$H$2:$K$11,4),1)</f>
        <v>#REF!</v>
      </c>
      <c r="P21" t="e">
        <f t="shared" si="0"/>
        <v>#REF!</v>
      </c>
      <c r="Q21" t="e">
        <f t="shared" si="1"/>
        <v>#REF!</v>
      </c>
      <c r="R21" t="e">
        <f t="shared" si="2"/>
        <v>#REF!</v>
      </c>
      <c r="S21">
        <v>0.78961000000000003</v>
      </c>
      <c r="T21" t="e">
        <f>IF(R21&lt;&gt;0,Configuración!$E$2,0)</f>
        <v>#REF!</v>
      </c>
      <c r="U21" t="e">
        <f>IF(R21&lt;&gt;0,Configuración!$F$2,0)</f>
        <v>#REF!</v>
      </c>
      <c r="V21" t="e">
        <f>IF(R21&lt;&gt;0,Configuración!$G$2,0)</f>
        <v>#REF!</v>
      </c>
      <c r="W21" t="e">
        <f t="shared" si="3"/>
        <v>#REF!</v>
      </c>
      <c r="X21" t="e">
        <f t="shared" si="4"/>
        <v>#REF!</v>
      </c>
      <c r="Z21" t="e">
        <f t="shared" si="5"/>
        <v>#REF!</v>
      </c>
      <c r="AB21" t="e">
        <f t="shared" si="6"/>
        <v>#REF!</v>
      </c>
      <c r="AG21" t="e">
        <f t="shared" si="7"/>
        <v>#REF!</v>
      </c>
      <c r="AH21" s="5" t="e">
        <f t="shared" si="8"/>
        <v>#REF!</v>
      </c>
      <c r="AI21" t="e">
        <f t="shared" si="9"/>
        <v>#REF!</v>
      </c>
    </row>
    <row r="22" spans="1:37" x14ac:dyDescent="0.55000000000000004">
      <c r="A22" s="3">
        <v>45918</v>
      </c>
      <c r="B22" s="4">
        <v>0.625</v>
      </c>
      <c r="C22" t="s">
        <v>31</v>
      </c>
      <c r="D22" t="e">
        <f>IF(COUNTIF(#REF!,"&lt;&gt;NAN")=0, 0, IF(AND(OR(#REF!=#REF!,#REF!="NAN"), OR(#REF!=#REF!,#REF!="NAN"), OR(#REF!=#REF!,#REF!="NAN")),#REF!, 0))</f>
        <v>#REF!</v>
      </c>
      <c r="E22" t="e">
        <f>IF(#REF!="NAN","",IF(
   AND(OR(#REF!=#REF!,#REF!="NAN"),
     OR(#REF!=#REF!,#REF!="NAN"),
     OR(#REF!=#REF!,#REF!="NAN")),
   1,
   0))</f>
        <v>#REF!</v>
      </c>
      <c r="G22" t="e">
        <f>IF(OR(#REF!="UP",#REF!="DOWN"),1,0)</f>
        <v>#REF!</v>
      </c>
      <c r="H22" t="e">
        <f>IF(OR(#REF!="UP",#REF!="DOWN"),1,0)</f>
        <v>#REF!</v>
      </c>
      <c r="I22" t="e">
        <f>IF(OR(#REF!="UP",#REF!="DOWN"),1,0)</f>
        <v>#REF!</v>
      </c>
      <c r="M22" t="e">
        <f>IF(OR(#REF!="UP",#REF!="DOWN"),1,1)</f>
        <v>#REF!</v>
      </c>
      <c r="N22" t="e">
        <f>IF(OR(#REF!="UP",#REF!="DOWN"),VLOOKUP($C22,Configuración!$H$2:$K$11,3),1)</f>
        <v>#REF!</v>
      </c>
      <c r="O22" t="e">
        <f>IF(OR(#REF!="UP",#REF!="DOWN"),VLOOKUP($C22,Configuración!$H$2:$K$11,4),1)</f>
        <v>#REF!</v>
      </c>
      <c r="P22" t="e">
        <f t="shared" si="0"/>
        <v>#REF!</v>
      </c>
      <c r="Q22" t="e">
        <f t="shared" si="1"/>
        <v>#REF!</v>
      </c>
      <c r="R22" t="e">
        <f t="shared" si="2"/>
        <v>#REF!</v>
      </c>
      <c r="T22" t="e">
        <f>IF(R22&lt;&gt;0,Configuración!$E$2,0)</f>
        <v>#REF!</v>
      </c>
      <c r="U22" t="e">
        <f>IF(R22&lt;&gt;0,Configuración!$F$2,0)</f>
        <v>#REF!</v>
      </c>
      <c r="V22" t="e">
        <f>IF(R22&lt;&gt;0,Configuración!$G$2,0)</f>
        <v>#REF!</v>
      </c>
      <c r="W22" t="e">
        <f t="shared" si="3"/>
        <v>#REF!</v>
      </c>
      <c r="X22" t="e">
        <f t="shared" si="4"/>
        <v>#REF!</v>
      </c>
      <c r="Z22" t="e">
        <f t="shared" si="5"/>
        <v>#REF!</v>
      </c>
      <c r="AB22" t="e">
        <f t="shared" si="6"/>
        <v>#REF!</v>
      </c>
      <c r="AG22" t="e">
        <f t="shared" si="7"/>
        <v>#REF!</v>
      </c>
      <c r="AH22" s="5" t="e">
        <f t="shared" si="8"/>
        <v>#REF!</v>
      </c>
      <c r="AI22" t="e">
        <f t="shared" si="9"/>
        <v>#REF!</v>
      </c>
    </row>
    <row r="23" spans="1:37" x14ac:dyDescent="0.55000000000000004">
      <c r="A23" s="3">
        <v>45919</v>
      </c>
      <c r="B23" s="4">
        <v>0.625</v>
      </c>
      <c r="C23" t="s">
        <v>32</v>
      </c>
      <c r="D23" t="e">
        <f>IF(COUNTIF(#REF!,"&lt;&gt;NAN")=0, 0, IF(AND(OR(#REF!=#REF!,#REF!="NAN"), OR(#REF!=#REF!,#REF!="NAN"), OR(#REF!=#REF!,#REF!="NAN")),#REF!, 0))</f>
        <v>#REF!</v>
      </c>
      <c r="E23" t="e">
        <f>IF(#REF!="NAN","",IF(
   AND(OR(#REF!=#REF!,#REF!="NAN"),
     OR(#REF!=#REF!,#REF!="NAN"),
     OR(#REF!=#REF!,#REF!="NAN")),
   1,
   0))</f>
        <v>#REF!</v>
      </c>
      <c r="G23" t="e">
        <f>IF(OR(#REF!="UP",#REF!="DOWN"),1,0)</f>
        <v>#REF!</v>
      </c>
      <c r="H23" t="e">
        <f>IF(OR(#REF!="UP",#REF!="DOWN"),1,0)</f>
        <v>#REF!</v>
      </c>
      <c r="I23" t="e">
        <f>IF(OR(#REF!="UP",#REF!="DOWN"),1,0)</f>
        <v>#REF!</v>
      </c>
      <c r="M23" t="e">
        <f>IF(OR(#REF!="UP",#REF!="DOWN"),1,1)</f>
        <v>#REF!</v>
      </c>
      <c r="N23" t="e">
        <f>IF(OR(#REF!="UP",#REF!="DOWN"),VLOOKUP($C23,Configuración!$H$2:$K$11,3),1)</f>
        <v>#REF!</v>
      </c>
      <c r="O23" t="e">
        <f>IF(OR(#REF!="UP",#REF!="DOWN"),VLOOKUP($C23,Configuración!$H$2:$K$11,4),1)</f>
        <v>#REF!</v>
      </c>
      <c r="P23" t="e">
        <f t="shared" si="0"/>
        <v>#REF!</v>
      </c>
      <c r="Q23" t="e">
        <f t="shared" si="1"/>
        <v>#REF!</v>
      </c>
      <c r="R23" t="e">
        <f t="shared" si="2"/>
        <v>#REF!</v>
      </c>
      <c r="T23" t="e">
        <f>IF(R23&lt;&gt;0,Configuración!$E$2,0)</f>
        <v>#REF!</v>
      </c>
      <c r="U23" t="e">
        <f>IF(R23&lt;&gt;0,Configuración!$F$2,0)</f>
        <v>#REF!</v>
      </c>
      <c r="V23" t="e">
        <f>IF(R23&lt;&gt;0,Configuración!$G$2,0)</f>
        <v>#REF!</v>
      </c>
      <c r="W23" t="e">
        <f t="shared" si="3"/>
        <v>#REF!</v>
      </c>
      <c r="X23" t="e">
        <f t="shared" si="4"/>
        <v>#REF!</v>
      </c>
      <c r="Z23" t="e">
        <f t="shared" si="5"/>
        <v>#REF!</v>
      </c>
      <c r="AB23" t="e">
        <f t="shared" si="6"/>
        <v>#REF!</v>
      </c>
      <c r="AG23" t="e">
        <f t="shared" si="7"/>
        <v>#REF!</v>
      </c>
      <c r="AH23" s="5" t="e">
        <f t="shared" si="8"/>
        <v>#REF!</v>
      </c>
      <c r="AI23" t="e">
        <f t="shared" si="9"/>
        <v>#REF!</v>
      </c>
    </row>
    <row r="24" spans="1:37" x14ac:dyDescent="0.55000000000000004">
      <c r="A24" s="3">
        <v>45919</v>
      </c>
      <c r="B24" s="4">
        <v>0.625</v>
      </c>
      <c r="C24" t="s">
        <v>26</v>
      </c>
      <c r="D24" t="e">
        <f>IF(COUNTIF(#REF!,"&lt;&gt;NAN")=0, 0, IF(AND(OR(#REF!=#REF!,#REF!="NAN"), OR(#REF!=#REF!,#REF!="NAN"), OR(#REF!=#REF!,#REF!="NAN")),#REF!, 0))</f>
        <v>#REF!</v>
      </c>
      <c r="E24" t="e">
        <f>IF(#REF!="NAN","",IF(
   AND(OR(#REF!=#REF!,#REF!="NAN"),
     OR(#REF!=#REF!,#REF!="NAN"),
     OR(#REF!=#REF!,#REF!="NAN")),
   1,
   0))</f>
        <v>#REF!</v>
      </c>
      <c r="G24" t="e">
        <f>IF(OR(#REF!="UP",#REF!="DOWN"),1,0)</f>
        <v>#REF!</v>
      </c>
      <c r="H24" t="e">
        <f>IF(OR(#REF!="UP",#REF!="DOWN"),1,0)</f>
        <v>#REF!</v>
      </c>
      <c r="I24" t="e">
        <f>IF(OR(#REF!="UP",#REF!="DOWN"),1,0)</f>
        <v>#REF!</v>
      </c>
      <c r="M24" t="e">
        <f>IF(OR(#REF!="UP",#REF!="DOWN"),1,1)</f>
        <v>#REF!</v>
      </c>
      <c r="N24" t="e">
        <f>IF(OR(#REF!="UP",#REF!="DOWN"),VLOOKUP($C24,Configuración!$H$2:$K$11,3),1)</f>
        <v>#REF!</v>
      </c>
      <c r="O24" t="e">
        <f>IF(OR(#REF!="UP",#REF!="DOWN"),VLOOKUP($C24,Configuración!$H$2:$K$11,4),1)</f>
        <v>#REF!</v>
      </c>
      <c r="P24" t="e">
        <f t="shared" si="0"/>
        <v>#REF!</v>
      </c>
      <c r="Q24" t="e">
        <f t="shared" si="1"/>
        <v>#REF!</v>
      </c>
      <c r="R24" t="e">
        <f t="shared" si="2"/>
        <v>#REF!</v>
      </c>
      <c r="T24" t="e">
        <f>IF(R24&lt;&gt;0,Configuración!$E$2,0)</f>
        <v>#REF!</v>
      </c>
      <c r="U24" t="e">
        <f>IF(R24&lt;&gt;0,Configuración!$F$2,0)</f>
        <v>#REF!</v>
      </c>
      <c r="V24" t="e">
        <f>IF(R24&lt;&gt;0,Configuración!$G$2,0)</f>
        <v>#REF!</v>
      </c>
      <c r="W24" t="e">
        <f t="shared" si="3"/>
        <v>#REF!</v>
      </c>
      <c r="X24" t="e">
        <f t="shared" si="4"/>
        <v>#REF!</v>
      </c>
      <c r="Z24" t="e">
        <f t="shared" si="5"/>
        <v>#REF!</v>
      </c>
      <c r="AB24" t="e">
        <f t="shared" si="6"/>
        <v>#REF!</v>
      </c>
      <c r="AG24" t="e">
        <f t="shared" si="7"/>
        <v>#REF!</v>
      </c>
      <c r="AH24" s="5" t="e">
        <f t="shared" si="8"/>
        <v>#REF!</v>
      </c>
      <c r="AI24" t="e">
        <f t="shared" si="9"/>
        <v>#REF!</v>
      </c>
    </row>
    <row r="25" spans="1:37" x14ac:dyDescent="0.55000000000000004">
      <c r="A25" s="3">
        <v>45919</v>
      </c>
      <c r="B25" s="4">
        <v>0.625</v>
      </c>
      <c r="C25" t="s">
        <v>33</v>
      </c>
      <c r="D25" t="e">
        <f>IF(COUNTIF(#REF!,"&lt;&gt;NAN")=0, 0, IF(AND(OR(#REF!=#REF!,#REF!="NAN"), OR(#REF!=#REF!,#REF!="NAN"), OR(#REF!=#REF!,#REF!="NAN")),#REF!, 0))</f>
        <v>#REF!</v>
      </c>
      <c r="E25" t="e">
        <f>IF(#REF!="NAN","",IF(
   AND(OR(#REF!=#REF!,#REF!="NAN"),
     OR(#REF!=#REF!,#REF!="NAN"),
     OR(#REF!=#REF!,#REF!="NAN")),
   1,
   0))</f>
        <v>#REF!</v>
      </c>
      <c r="G25" t="e">
        <f>IF(OR(#REF!="UP",#REF!="DOWN"),1,0)</f>
        <v>#REF!</v>
      </c>
      <c r="H25" t="e">
        <f>IF(OR(#REF!="UP",#REF!="DOWN"),1,0)</f>
        <v>#REF!</v>
      </c>
      <c r="I25" t="e">
        <f>IF(OR(#REF!="UP",#REF!="DOWN"),1,0)</f>
        <v>#REF!</v>
      </c>
      <c r="M25" t="e">
        <f>IF(OR(#REF!="UP",#REF!="DOWN"),1,1)</f>
        <v>#REF!</v>
      </c>
      <c r="N25" t="e">
        <f>IF(OR(#REF!="UP",#REF!="DOWN"),VLOOKUP($C25,Configuración!$H$2:$K$11,3),1)</f>
        <v>#REF!</v>
      </c>
      <c r="O25" t="e">
        <f>IF(OR(#REF!="UP",#REF!="DOWN"),VLOOKUP($C25,Configuración!$H$2:$K$11,4),1)</f>
        <v>#REF!</v>
      </c>
      <c r="P25" t="e">
        <f t="shared" si="0"/>
        <v>#REF!</v>
      </c>
      <c r="Q25" t="e">
        <f t="shared" si="1"/>
        <v>#REF!</v>
      </c>
      <c r="R25" t="e">
        <f t="shared" si="2"/>
        <v>#REF!</v>
      </c>
      <c r="T25" t="e">
        <f>IF(R25&lt;&gt;0,Configuración!$E$2,0)</f>
        <v>#REF!</v>
      </c>
      <c r="U25" t="e">
        <f>IF(R25&lt;&gt;0,Configuración!$F$2,0)</f>
        <v>#REF!</v>
      </c>
      <c r="V25" t="e">
        <f>IF(R25&lt;&gt;0,Configuración!$G$2,0)</f>
        <v>#REF!</v>
      </c>
      <c r="W25" t="e">
        <f t="shared" si="3"/>
        <v>#REF!</v>
      </c>
      <c r="X25" t="e">
        <f t="shared" si="4"/>
        <v>#REF!</v>
      </c>
      <c r="Z25" t="e">
        <f t="shared" si="5"/>
        <v>#REF!</v>
      </c>
      <c r="AB25" t="e">
        <f t="shared" si="6"/>
        <v>#REF!</v>
      </c>
      <c r="AG25" t="e">
        <f t="shared" si="7"/>
        <v>#REF!</v>
      </c>
      <c r="AH25" s="5" t="e">
        <f t="shared" si="8"/>
        <v>#REF!</v>
      </c>
      <c r="AI25" t="e">
        <f t="shared" si="9"/>
        <v>#REF!</v>
      </c>
    </row>
    <row r="26" spans="1:37" x14ac:dyDescent="0.55000000000000004">
      <c r="A26" s="3">
        <v>45919</v>
      </c>
      <c r="B26" s="4">
        <v>0.625</v>
      </c>
      <c r="C26" t="s">
        <v>35</v>
      </c>
      <c r="D26" t="e">
        <f>IF(COUNTIF(#REF!,"&lt;&gt;NAN")=0, 0, IF(AND(OR(#REF!=#REF!,#REF!="NAN"), OR(#REF!=#REF!,#REF!="NAN"), OR(#REF!=#REF!,#REF!="NAN")),#REF!, 0))</f>
        <v>#REF!</v>
      </c>
      <c r="E26" t="e">
        <f>IF(#REF!="NAN","",IF(
   AND(OR(#REF!=#REF!,#REF!="NAN"),
     OR(#REF!=#REF!,#REF!="NAN"),
     OR(#REF!=#REF!,#REF!="NAN")),
   1,
   0))</f>
        <v>#REF!</v>
      </c>
      <c r="G26" t="e">
        <f>IF(OR(#REF!="UP",#REF!="DOWN"),1,0)</f>
        <v>#REF!</v>
      </c>
      <c r="H26" t="e">
        <f>IF(OR(#REF!="UP",#REF!="DOWN"),1,0)</f>
        <v>#REF!</v>
      </c>
      <c r="I26" t="e">
        <f>IF(OR(#REF!="UP",#REF!="DOWN"),1,0)</f>
        <v>#REF!</v>
      </c>
      <c r="M26" t="e">
        <f>IF(OR(#REF!="UP",#REF!="DOWN"),1,1)</f>
        <v>#REF!</v>
      </c>
      <c r="N26" t="e">
        <f>IF(OR(#REF!="UP",#REF!="DOWN"),VLOOKUP($C26,Configuración!$H$2:$K$11,3),1)</f>
        <v>#REF!</v>
      </c>
      <c r="O26" t="e">
        <f>IF(OR(#REF!="UP",#REF!="DOWN"),VLOOKUP($C26,Configuración!$H$2:$K$11,4),1)</f>
        <v>#REF!</v>
      </c>
      <c r="P26" t="e">
        <f t="shared" si="0"/>
        <v>#REF!</v>
      </c>
      <c r="Q26" t="e">
        <f t="shared" si="1"/>
        <v>#REF!</v>
      </c>
      <c r="R26" t="e">
        <f t="shared" si="2"/>
        <v>#REF!</v>
      </c>
      <c r="T26" t="e">
        <f>IF(R26&lt;&gt;0,Configuración!$E$2,0)</f>
        <v>#REF!</v>
      </c>
      <c r="U26" t="e">
        <f>IF(R26&lt;&gt;0,Configuración!$F$2,0)</f>
        <v>#REF!</v>
      </c>
      <c r="V26" t="e">
        <f>IF(R26&lt;&gt;0,Configuración!$G$2,0)</f>
        <v>#REF!</v>
      </c>
      <c r="W26" t="e">
        <f t="shared" si="3"/>
        <v>#REF!</v>
      </c>
      <c r="X26" t="e">
        <f t="shared" si="4"/>
        <v>#REF!</v>
      </c>
      <c r="Z26" t="e">
        <f t="shared" si="5"/>
        <v>#REF!</v>
      </c>
      <c r="AB26" t="e">
        <f t="shared" si="6"/>
        <v>#REF!</v>
      </c>
      <c r="AG26" t="e">
        <f t="shared" si="7"/>
        <v>#REF!</v>
      </c>
      <c r="AH26" s="5" t="e">
        <f t="shared" si="8"/>
        <v>#REF!</v>
      </c>
      <c r="AI26" t="e">
        <f t="shared" si="9"/>
        <v>#REF!</v>
      </c>
    </row>
    <row r="27" spans="1:37" x14ac:dyDescent="0.55000000000000004">
      <c r="A27" s="3">
        <v>45919</v>
      </c>
      <c r="B27" s="4">
        <v>0.625</v>
      </c>
      <c r="C27" t="s">
        <v>34</v>
      </c>
      <c r="D27" t="e">
        <f>IF(COUNTIF(#REF!,"&lt;&gt;NAN")=0, 0, IF(AND(OR(#REF!=#REF!,#REF!="NAN"), OR(#REF!=#REF!,#REF!="NAN"), OR(#REF!=#REF!,#REF!="NAN")),#REF!, 0))</f>
        <v>#REF!</v>
      </c>
      <c r="E27" t="e">
        <f>IF(#REF!="NAN","",IF(
   AND(OR(#REF!=#REF!,#REF!="NAN"),
     OR(#REF!=#REF!,#REF!="NAN"),
     OR(#REF!=#REF!,#REF!="NAN")),
   1,
   0))</f>
        <v>#REF!</v>
      </c>
      <c r="G27" t="e">
        <f>IF(OR(#REF!="UP",#REF!="DOWN"),1,0)</f>
        <v>#REF!</v>
      </c>
      <c r="H27" t="e">
        <f>IF(OR(#REF!="UP",#REF!="DOWN"),1,0)</f>
        <v>#REF!</v>
      </c>
      <c r="I27" t="e">
        <f>IF(OR(#REF!="UP",#REF!="DOWN"),1,0)</f>
        <v>#REF!</v>
      </c>
      <c r="M27" t="e">
        <f>IF(OR(#REF!="UP",#REF!="DOWN"),1,1)</f>
        <v>#REF!</v>
      </c>
      <c r="N27" t="e">
        <f>IF(OR(#REF!="UP",#REF!="DOWN"),VLOOKUP($C27,Configuración!$H$2:$K$11,3),1)</f>
        <v>#REF!</v>
      </c>
      <c r="O27" t="e">
        <f>IF(OR(#REF!="UP",#REF!="DOWN"),VLOOKUP($C27,Configuración!$H$2:$K$11,4),1)</f>
        <v>#REF!</v>
      </c>
      <c r="P27" t="e">
        <f t="shared" si="0"/>
        <v>#REF!</v>
      </c>
      <c r="Q27" t="e">
        <f t="shared" si="1"/>
        <v>#REF!</v>
      </c>
      <c r="R27" t="e">
        <f t="shared" si="2"/>
        <v>#REF!</v>
      </c>
      <c r="T27" t="e">
        <f>IF(R27&lt;&gt;0,Configuración!$E$2,0)</f>
        <v>#REF!</v>
      </c>
      <c r="U27" t="e">
        <f>IF(R27&lt;&gt;0,Configuración!$F$2,0)</f>
        <v>#REF!</v>
      </c>
      <c r="V27" t="e">
        <f>IF(R27&lt;&gt;0,Configuración!$G$2,0)</f>
        <v>#REF!</v>
      </c>
      <c r="W27" t="e">
        <f t="shared" si="3"/>
        <v>#REF!</v>
      </c>
      <c r="X27" t="e">
        <f t="shared" si="4"/>
        <v>#REF!</v>
      </c>
      <c r="Z27" t="e">
        <f t="shared" si="5"/>
        <v>#REF!</v>
      </c>
      <c r="AB27" t="e">
        <f t="shared" si="6"/>
        <v>#REF!</v>
      </c>
      <c r="AG27" t="e">
        <f t="shared" si="7"/>
        <v>#REF!</v>
      </c>
      <c r="AH27" s="5" t="e">
        <f t="shared" si="8"/>
        <v>#REF!</v>
      </c>
      <c r="AI27" t="e">
        <f t="shared" si="9"/>
        <v>#REF!</v>
      </c>
    </row>
    <row r="28" spans="1:37" x14ac:dyDescent="0.55000000000000004">
      <c r="A28" s="3">
        <v>45919</v>
      </c>
      <c r="B28" s="4">
        <v>0.625</v>
      </c>
      <c r="C28" t="s">
        <v>27</v>
      </c>
      <c r="D28" t="e">
        <f>IF(COUNTIF(#REF!,"&lt;&gt;NAN")=0, 0, IF(AND(OR(#REF!=#REF!,#REF!="NAN"), OR(#REF!=#REF!,#REF!="NAN"), OR(#REF!=#REF!,#REF!="NAN")),#REF!, 0))</f>
        <v>#REF!</v>
      </c>
      <c r="E28" t="e">
        <f>IF(#REF!="NAN","",IF(
   AND(OR(#REF!=#REF!,#REF!="NAN"),
     OR(#REF!=#REF!,#REF!="NAN"),
     OR(#REF!=#REF!,#REF!="NAN")),
   1,
   0))</f>
        <v>#REF!</v>
      </c>
      <c r="G28" t="e">
        <f>IF(OR(#REF!="UP",#REF!="DOWN"),1,0)</f>
        <v>#REF!</v>
      </c>
      <c r="H28" t="e">
        <f>IF(OR(#REF!="UP",#REF!="DOWN"),1,0)</f>
        <v>#REF!</v>
      </c>
      <c r="I28" t="e">
        <f>IF(OR(#REF!="UP",#REF!="DOWN"),1,0)</f>
        <v>#REF!</v>
      </c>
      <c r="M28" t="e">
        <f>IF(OR(#REF!="UP",#REF!="DOWN"),1,1)</f>
        <v>#REF!</v>
      </c>
      <c r="N28" t="e">
        <f>IF(OR(#REF!="UP",#REF!="DOWN"),VLOOKUP($C28,Configuración!$H$2:$K$11,3),1)</f>
        <v>#REF!</v>
      </c>
      <c r="O28" t="e">
        <f>IF(OR(#REF!="UP",#REF!="DOWN"),VLOOKUP($C28,Configuración!$H$2:$K$11,4),1)</f>
        <v>#REF!</v>
      </c>
      <c r="P28" t="e">
        <f t="shared" si="0"/>
        <v>#REF!</v>
      </c>
      <c r="Q28" t="e">
        <f t="shared" si="1"/>
        <v>#REF!</v>
      </c>
      <c r="R28" t="e">
        <f t="shared" si="2"/>
        <v>#REF!</v>
      </c>
      <c r="T28" t="e">
        <f>IF(R28&lt;&gt;0,Configuración!$E$2,0)</f>
        <v>#REF!</v>
      </c>
      <c r="U28" t="e">
        <f>IF(R28&lt;&gt;0,Configuración!$F$2,0)</f>
        <v>#REF!</v>
      </c>
      <c r="V28" t="e">
        <f>IF(R28&lt;&gt;0,Configuración!$G$2,0)</f>
        <v>#REF!</v>
      </c>
      <c r="W28" t="e">
        <f t="shared" si="3"/>
        <v>#REF!</v>
      </c>
      <c r="X28" t="e">
        <f t="shared" si="4"/>
        <v>#REF!</v>
      </c>
      <c r="Z28" t="e">
        <f t="shared" si="5"/>
        <v>#REF!</v>
      </c>
      <c r="AB28" t="e">
        <f t="shared" si="6"/>
        <v>#REF!</v>
      </c>
      <c r="AG28" t="e">
        <f t="shared" si="7"/>
        <v>#REF!</v>
      </c>
      <c r="AH28" s="5" t="e">
        <f t="shared" si="8"/>
        <v>#REF!</v>
      </c>
      <c r="AI28" t="e">
        <f t="shared" si="9"/>
        <v>#REF!</v>
      </c>
    </row>
    <row r="29" spans="1:37" x14ac:dyDescent="0.55000000000000004">
      <c r="A29" s="3">
        <v>45919</v>
      </c>
      <c r="B29" s="4">
        <v>0.625</v>
      </c>
      <c r="C29" t="s">
        <v>28</v>
      </c>
      <c r="D29" t="e">
        <f>IF(COUNTIF(#REF!,"&lt;&gt;NAN")=0, 0, IF(AND(OR(#REF!=#REF!,#REF!="NAN"), OR(#REF!=#REF!,#REF!="NAN"), OR(#REF!=#REF!,#REF!="NAN")),#REF!, 0))</f>
        <v>#REF!</v>
      </c>
      <c r="E29" t="e">
        <f>IF(#REF!="NAN","",IF(
   AND(OR(#REF!=#REF!,#REF!="NAN"),
     OR(#REF!=#REF!,#REF!="NAN"),
     OR(#REF!=#REF!,#REF!="NAN")),
   1,
   0))</f>
        <v>#REF!</v>
      </c>
      <c r="G29" t="e">
        <f>IF(OR(#REF!="UP",#REF!="DOWN"),1,0)</f>
        <v>#REF!</v>
      </c>
      <c r="H29" t="e">
        <f>IF(OR(#REF!="UP",#REF!="DOWN"),1,0)</f>
        <v>#REF!</v>
      </c>
      <c r="I29" t="e">
        <f>IF(OR(#REF!="UP",#REF!="DOWN"),1,0)</f>
        <v>#REF!</v>
      </c>
      <c r="M29" t="e">
        <f>IF(OR(#REF!="UP",#REF!="DOWN"),1,1)</f>
        <v>#REF!</v>
      </c>
      <c r="N29" t="e">
        <f>IF(OR(#REF!="UP",#REF!="DOWN"),VLOOKUP($C29,Configuración!$H$2:$K$11,3),1)</f>
        <v>#REF!</v>
      </c>
      <c r="O29" t="e">
        <f>IF(OR(#REF!="UP",#REF!="DOWN"),VLOOKUP($C29,Configuración!$H$2:$K$11,4),1)</f>
        <v>#REF!</v>
      </c>
      <c r="P29" t="e">
        <f t="shared" si="0"/>
        <v>#REF!</v>
      </c>
      <c r="Q29" t="e">
        <f t="shared" si="1"/>
        <v>#REF!</v>
      </c>
      <c r="R29" t="e">
        <f t="shared" si="2"/>
        <v>#REF!</v>
      </c>
      <c r="T29" t="e">
        <f>IF(R29&lt;&gt;0,Configuración!$E$2,0)</f>
        <v>#REF!</v>
      </c>
      <c r="U29" t="e">
        <f>IF(R29&lt;&gt;0,Configuración!$F$2,0)</f>
        <v>#REF!</v>
      </c>
      <c r="V29" t="e">
        <f>IF(R29&lt;&gt;0,Configuración!$G$2,0)</f>
        <v>#REF!</v>
      </c>
      <c r="W29" t="e">
        <f t="shared" si="3"/>
        <v>#REF!</v>
      </c>
      <c r="X29" t="e">
        <f t="shared" si="4"/>
        <v>#REF!</v>
      </c>
      <c r="Z29" t="e">
        <f t="shared" si="5"/>
        <v>#REF!</v>
      </c>
      <c r="AB29" t="e">
        <f t="shared" si="6"/>
        <v>#REF!</v>
      </c>
      <c r="AG29" t="e">
        <f t="shared" si="7"/>
        <v>#REF!</v>
      </c>
      <c r="AH29" s="5" t="e">
        <f t="shared" si="8"/>
        <v>#REF!</v>
      </c>
      <c r="AI29" t="e">
        <f t="shared" si="9"/>
        <v>#REF!</v>
      </c>
    </row>
    <row r="30" spans="1:37" x14ac:dyDescent="0.55000000000000004">
      <c r="A30" s="3">
        <v>45919</v>
      </c>
      <c r="B30" s="4">
        <v>0.625</v>
      </c>
      <c r="C30" t="s">
        <v>30</v>
      </c>
      <c r="D30" t="e">
        <f>IF(COUNTIF(#REF!,"&lt;&gt;NAN")=0, 0, IF(AND(OR(#REF!=#REF!,#REF!="NAN"), OR(#REF!=#REF!,#REF!="NAN"), OR(#REF!=#REF!,#REF!="NAN")),#REF!, 0))</f>
        <v>#REF!</v>
      </c>
      <c r="E30" t="e">
        <f>IF(#REF!="NAN","",IF(
   AND(OR(#REF!=#REF!,#REF!="NAN"),
     OR(#REF!=#REF!,#REF!="NAN"),
     OR(#REF!=#REF!,#REF!="NAN")),
   1,
   0))</f>
        <v>#REF!</v>
      </c>
      <c r="G30" t="e">
        <f>IF(OR(#REF!="UP",#REF!="DOWN"),1,0)</f>
        <v>#REF!</v>
      </c>
      <c r="H30" t="e">
        <f>IF(OR(#REF!="UP",#REF!="DOWN"),1,0)</f>
        <v>#REF!</v>
      </c>
      <c r="I30" t="e">
        <f>IF(OR(#REF!="UP",#REF!="DOWN"),1,0)</f>
        <v>#REF!</v>
      </c>
      <c r="M30" t="e">
        <f>IF(OR(#REF!="UP",#REF!="DOWN"),1,1)</f>
        <v>#REF!</v>
      </c>
      <c r="N30" t="e">
        <f>IF(OR(#REF!="UP",#REF!="DOWN"),VLOOKUP($C30,Configuración!$H$2:$K$11,3),1)</f>
        <v>#REF!</v>
      </c>
      <c r="O30" t="e">
        <f>IF(OR(#REF!="UP",#REF!="DOWN"),VLOOKUP($C30,Configuración!$H$2:$K$11,4),1)</f>
        <v>#REF!</v>
      </c>
      <c r="P30" t="e">
        <f t="shared" si="0"/>
        <v>#REF!</v>
      </c>
      <c r="Q30" t="e">
        <f t="shared" si="1"/>
        <v>#REF!</v>
      </c>
      <c r="R30" t="e">
        <f t="shared" si="2"/>
        <v>#REF!</v>
      </c>
      <c r="T30" t="e">
        <f>IF(R30&lt;&gt;0,Configuración!$E$2,0)</f>
        <v>#REF!</v>
      </c>
      <c r="U30" t="e">
        <f>IF(R30&lt;&gt;0,Configuración!$F$2,0)</f>
        <v>#REF!</v>
      </c>
      <c r="V30" t="e">
        <f>IF(R30&lt;&gt;0,Configuración!$G$2,0)</f>
        <v>#REF!</v>
      </c>
      <c r="W30" t="e">
        <f t="shared" si="3"/>
        <v>#REF!</v>
      </c>
      <c r="X30" t="e">
        <f t="shared" si="4"/>
        <v>#REF!</v>
      </c>
      <c r="Z30" t="e">
        <f t="shared" si="5"/>
        <v>#REF!</v>
      </c>
      <c r="AB30" t="e">
        <f t="shared" si="6"/>
        <v>#REF!</v>
      </c>
      <c r="AG30" t="e">
        <f t="shared" si="7"/>
        <v>#REF!</v>
      </c>
      <c r="AH30" s="5" t="e">
        <f t="shared" si="8"/>
        <v>#REF!</v>
      </c>
      <c r="AI30" t="e">
        <f t="shared" si="9"/>
        <v>#REF!</v>
      </c>
    </row>
    <row r="31" spans="1:37" x14ac:dyDescent="0.55000000000000004">
      <c r="A31" s="3">
        <v>45919</v>
      </c>
      <c r="B31" s="4">
        <v>0.625</v>
      </c>
      <c r="C31" t="s">
        <v>29</v>
      </c>
      <c r="D31" t="e">
        <f>IF(COUNTIF(#REF!,"&lt;&gt;NAN")=0, 0, IF(AND(OR(#REF!=#REF!,#REF!="NAN"), OR(#REF!=#REF!,#REF!="NAN"), OR(#REF!=#REF!,#REF!="NAN")),#REF!, 0))</f>
        <v>#REF!</v>
      </c>
      <c r="E31" t="e">
        <f>IF(#REF!="NAN","",IF(
   AND(OR(#REF!=#REF!,#REF!="NAN"),
     OR(#REF!=#REF!,#REF!="NAN"),
     OR(#REF!=#REF!,#REF!="NAN")),
   1,
   0))</f>
        <v>#REF!</v>
      </c>
      <c r="G31" t="e">
        <f>IF(OR(#REF!="UP",#REF!="DOWN"),1,0)</f>
        <v>#REF!</v>
      </c>
      <c r="H31" t="e">
        <f>IF(OR(#REF!="UP",#REF!="DOWN"),1,0)</f>
        <v>#REF!</v>
      </c>
      <c r="I31" t="e">
        <f>IF(OR(#REF!="UP",#REF!="DOWN"),1,0)</f>
        <v>#REF!</v>
      </c>
      <c r="M31" t="e">
        <f>IF(OR(#REF!="UP",#REF!="DOWN"),1,1)</f>
        <v>#REF!</v>
      </c>
      <c r="N31" t="e">
        <f>IF(OR(#REF!="UP",#REF!="DOWN"),VLOOKUP($C31,Configuración!$H$2:$K$11,3),1)</f>
        <v>#REF!</v>
      </c>
      <c r="O31" t="e">
        <f>IF(OR(#REF!="UP",#REF!="DOWN"),VLOOKUP($C31,Configuración!$H$2:$K$11,4),1)</f>
        <v>#REF!</v>
      </c>
      <c r="P31" t="e">
        <f t="shared" si="0"/>
        <v>#REF!</v>
      </c>
      <c r="Q31" t="e">
        <f t="shared" si="1"/>
        <v>#REF!</v>
      </c>
      <c r="R31" t="s">
        <v>38</v>
      </c>
      <c r="S31">
        <v>0.78961000000000003</v>
      </c>
      <c r="T31">
        <v>1</v>
      </c>
      <c r="U31">
        <v>2</v>
      </c>
      <c r="V31">
        <v>5</v>
      </c>
      <c r="W31">
        <f t="shared" si="3"/>
        <v>0.7975061</v>
      </c>
      <c r="X31">
        <f t="shared" si="4"/>
        <v>0.7738178</v>
      </c>
      <c r="Y31">
        <v>0.79664000000000001</v>
      </c>
      <c r="Z31" t="str">
        <f t="shared" si="5"/>
        <v/>
      </c>
      <c r="AB31">
        <f t="shared" si="6"/>
        <v>0.72040000000000004</v>
      </c>
      <c r="AG31">
        <f t="shared" si="7"/>
        <v>1000</v>
      </c>
      <c r="AH31" s="5">
        <f t="shared" si="8"/>
        <v>720.40000000000009</v>
      </c>
      <c r="AI31" t="str">
        <f t="shared" si="9"/>
        <v>MANTENER</v>
      </c>
      <c r="AK31">
        <v>2</v>
      </c>
    </row>
    <row r="32" spans="1:37" x14ac:dyDescent="0.55000000000000004">
      <c r="A32" s="3">
        <v>45919</v>
      </c>
      <c r="B32" s="4">
        <v>0.625</v>
      </c>
      <c r="C32" t="s">
        <v>31</v>
      </c>
      <c r="D32" t="e">
        <f>IF(COUNTIF(#REF!,"&lt;&gt;NAN")=0, 0, IF(AND(OR(#REF!=#REF!,#REF!="NAN"), OR(#REF!=#REF!,#REF!="NAN"), OR(#REF!=#REF!,#REF!="NAN")),#REF!, 0))</f>
        <v>#REF!</v>
      </c>
      <c r="E32" t="e">
        <f>IF(#REF!="NAN","",IF(
   AND(OR(#REF!=#REF!,#REF!="NAN"),
     OR(#REF!=#REF!,#REF!="NAN"),
     OR(#REF!=#REF!,#REF!="NAN")),
   1,
   0))</f>
        <v>#REF!</v>
      </c>
      <c r="G32" t="e">
        <f>IF(OR(#REF!="UP",#REF!="DOWN"),1,0)</f>
        <v>#REF!</v>
      </c>
      <c r="H32" t="e">
        <f>IF(OR(#REF!="UP",#REF!="DOWN"),1,0)</f>
        <v>#REF!</v>
      </c>
      <c r="I32" t="e">
        <f>IF(OR(#REF!="UP",#REF!="DOWN"),1,0)</f>
        <v>#REF!</v>
      </c>
      <c r="M32" t="e">
        <f>IF(OR(#REF!="UP",#REF!="DOWN"),1,1)</f>
        <v>#REF!</v>
      </c>
      <c r="N32" t="e">
        <f>IF(OR(#REF!="UP",#REF!="DOWN"),VLOOKUP($C32,Configuración!$H$2:$K$11,3),1)</f>
        <v>#REF!</v>
      </c>
      <c r="O32" t="e">
        <f>IF(OR(#REF!="UP",#REF!="DOWN"),VLOOKUP($C32,Configuración!$H$2:$K$11,4),1)</f>
        <v>#REF!</v>
      </c>
      <c r="P32" t="e">
        <f t="shared" si="0"/>
        <v>#REF!</v>
      </c>
      <c r="Q32" t="e">
        <f t="shared" si="1"/>
        <v>#REF!</v>
      </c>
      <c r="R32" t="e">
        <f t="shared" si="2"/>
        <v>#REF!</v>
      </c>
      <c r="T32" t="e">
        <f>IF(R32&lt;&gt;0,Configuración!$E$2,0)</f>
        <v>#REF!</v>
      </c>
      <c r="U32" t="e">
        <f>IF(R32&lt;&gt;0,Configuración!$F$2,0)</f>
        <v>#REF!</v>
      </c>
      <c r="V32" t="e">
        <f>IF(R32&lt;&gt;0,Configuración!$G$2,0)</f>
        <v>#REF!</v>
      </c>
      <c r="W32" t="e">
        <f t="shared" si="3"/>
        <v>#REF!</v>
      </c>
      <c r="X32" t="e">
        <f t="shared" si="4"/>
        <v>#REF!</v>
      </c>
      <c r="Z32" t="e">
        <f t="shared" si="5"/>
        <v>#REF!</v>
      </c>
      <c r="AB32" t="e">
        <f t="shared" si="6"/>
        <v>#REF!</v>
      </c>
      <c r="AG32" t="e">
        <f t="shared" si="7"/>
        <v>#REF!</v>
      </c>
      <c r="AH32" s="5" t="e">
        <f t="shared" si="8"/>
        <v>#REF!</v>
      </c>
      <c r="AI32" t="e">
        <f t="shared" si="9"/>
        <v>#REF!</v>
      </c>
    </row>
    <row r="33" spans="1:37" x14ac:dyDescent="0.55000000000000004">
      <c r="A33" s="3">
        <v>45922</v>
      </c>
      <c r="B33" s="4">
        <v>0.625</v>
      </c>
      <c r="C33" t="s">
        <v>32</v>
      </c>
      <c r="D33" t="e">
        <f>IF(COUNTIF(#REF!,"&lt;&gt;NAN")=0, 0, IF(AND(OR(#REF!=#REF!,#REF!="NAN"), OR(#REF!=#REF!,#REF!="NAN"), OR(#REF!=#REF!,#REF!="NAN")),#REF!, 0))</f>
        <v>#REF!</v>
      </c>
      <c r="E33" t="e">
        <f>IF(#REF!="NAN","",IF(
   AND(OR(#REF!=#REF!,#REF!="NAN"),
     OR(#REF!=#REF!,#REF!="NAN"),
     OR(#REF!=#REF!,#REF!="NAN")),
   1,
   0))</f>
        <v>#REF!</v>
      </c>
      <c r="G33" t="e">
        <f>IF(OR(#REF!="UP",#REF!="DOWN"),1,0)</f>
        <v>#REF!</v>
      </c>
      <c r="H33" t="e">
        <f>IF(OR(#REF!="UP",#REF!="DOWN"),1,0)</f>
        <v>#REF!</v>
      </c>
      <c r="I33" t="e">
        <f>IF(OR(#REF!="UP",#REF!="DOWN"),1,0)</f>
        <v>#REF!</v>
      </c>
      <c r="M33" t="e">
        <f>IF(OR(#REF!="UP",#REF!="DOWN"),1,1)</f>
        <v>#REF!</v>
      </c>
      <c r="N33" t="e">
        <f>IF(OR(#REF!="UP",#REF!="DOWN"),VLOOKUP($C33,Configuración!$H$2:$K$11,3),1)</f>
        <v>#REF!</v>
      </c>
      <c r="O33" t="e">
        <f>IF(OR(#REF!="UP",#REF!="DOWN"),VLOOKUP($C33,Configuración!$H$2:$K$11,4),1)</f>
        <v>#REF!</v>
      </c>
      <c r="P33" t="e">
        <f t="shared" si="0"/>
        <v>#REF!</v>
      </c>
      <c r="Q33" t="e">
        <f t="shared" si="1"/>
        <v>#REF!</v>
      </c>
      <c r="R33" t="e">
        <f t="shared" si="2"/>
        <v>#REF!</v>
      </c>
      <c r="T33" t="e">
        <f>IF(R33&lt;&gt;0,Configuración!$E$2,0)</f>
        <v>#REF!</v>
      </c>
      <c r="U33" t="e">
        <f>IF(R33&lt;&gt;0,Configuración!$F$2,0)</f>
        <v>#REF!</v>
      </c>
      <c r="V33" t="e">
        <f>IF(R33&lt;&gt;0,Configuración!$G$2,0)</f>
        <v>#REF!</v>
      </c>
      <c r="W33" t="e">
        <f t="shared" si="3"/>
        <v>#REF!</v>
      </c>
      <c r="X33" t="e">
        <f t="shared" si="4"/>
        <v>#REF!</v>
      </c>
      <c r="Z33" t="e">
        <f t="shared" si="5"/>
        <v>#REF!</v>
      </c>
      <c r="AB33" t="e">
        <f t="shared" si="6"/>
        <v>#REF!</v>
      </c>
      <c r="AG33" t="e">
        <f t="shared" si="7"/>
        <v>#REF!</v>
      </c>
      <c r="AH33" s="5" t="e">
        <f t="shared" si="8"/>
        <v>#REF!</v>
      </c>
      <c r="AI33" t="e">
        <f t="shared" si="9"/>
        <v>#REF!</v>
      </c>
    </row>
    <row r="34" spans="1:37" x14ac:dyDescent="0.55000000000000004">
      <c r="A34" s="3">
        <v>45922</v>
      </c>
      <c r="B34" s="4">
        <v>0.625</v>
      </c>
      <c r="C34" t="s">
        <v>26</v>
      </c>
      <c r="D34" t="e">
        <f>IF(COUNTIF(#REF!,"&lt;&gt;NAN")=0, 0, IF(AND(OR(#REF!=#REF!,#REF!="NAN"), OR(#REF!=#REF!,#REF!="NAN"), OR(#REF!=#REF!,#REF!="NAN")),#REF!, 0))</f>
        <v>#REF!</v>
      </c>
      <c r="E34" t="e">
        <f>IF(#REF!="NAN","",IF(
   AND(OR(#REF!=#REF!,#REF!="NAN"),
     OR(#REF!=#REF!,#REF!="NAN"),
     OR(#REF!=#REF!,#REF!="NAN")),
   1,
   0))</f>
        <v>#REF!</v>
      </c>
      <c r="G34" t="e">
        <f>IF(OR(#REF!="UP",#REF!="DOWN"),1,0)</f>
        <v>#REF!</v>
      </c>
      <c r="H34" t="e">
        <f>IF(OR(#REF!="UP",#REF!="DOWN"),1,0)</f>
        <v>#REF!</v>
      </c>
      <c r="I34" t="e">
        <f>IF(OR(#REF!="UP",#REF!="DOWN"),1,0)</f>
        <v>#REF!</v>
      </c>
      <c r="M34" t="e">
        <f>IF(OR(#REF!="UP",#REF!="DOWN"),1,1)</f>
        <v>#REF!</v>
      </c>
      <c r="N34" t="e">
        <f>IF(OR(#REF!="UP",#REF!="DOWN"),VLOOKUP($C34,Configuración!$H$2:$K$11,3),1)</f>
        <v>#REF!</v>
      </c>
      <c r="O34" t="e">
        <f>IF(OR(#REF!="UP",#REF!="DOWN"),VLOOKUP($C34,Configuración!$H$2:$K$11,4),1)</f>
        <v>#REF!</v>
      </c>
      <c r="P34" t="e">
        <f t="shared" si="0"/>
        <v>#REF!</v>
      </c>
      <c r="Q34" t="e">
        <f t="shared" si="1"/>
        <v>#REF!</v>
      </c>
      <c r="R34" t="e">
        <f t="shared" si="2"/>
        <v>#REF!</v>
      </c>
      <c r="T34" t="e">
        <f>IF(R34&lt;&gt;0,Configuración!$E$2,0)</f>
        <v>#REF!</v>
      </c>
      <c r="U34" t="e">
        <f>IF(R34&lt;&gt;0,Configuración!$F$2,0)</f>
        <v>#REF!</v>
      </c>
      <c r="V34" t="e">
        <f>IF(R34&lt;&gt;0,Configuración!$G$2,0)</f>
        <v>#REF!</v>
      </c>
      <c r="W34" t="e">
        <f t="shared" si="3"/>
        <v>#REF!</v>
      </c>
      <c r="X34" t="e">
        <f t="shared" si="4"/>
        <v>#REF!</v>
      </c>
      <c r="Z34" t="e">
        <f t="shared" si="5"/>
        <v>#REF!</v>
      </c>
      <c r="AB34" t="e">
        <f t="shared" si="6"/>
        <v>#REF!</v>
      </c>
      <c r="AG34" t="e">
        <f t="shared" si="7"/>
        <v>#REF!</v>
      </c>
      <c r="AH34" s="5" t="e">
        <f t="shared" si="8"/>
        <v>#REF!</v>
      </c>
      <c r="AI34" t="e">
        <f t="shared" si="9"/>
        <v>#REF!</v>
      </c>
    </row>
    <row r="35" spans="1:37" x14ac:dyDescent="0.55000000000000004">
      <c r="A35" s="3">
        <v>45922</v>
      </c>
      <c r="B35" s="4">
        <v>0.625</v>
      </c>
      <c r="C35" t="s">
        <v>33</v>
      </c>
      <c r="D35" t="e">
        <f>IF(COUNTIF(#REF!,"&lt;&gt;NAN")=0, 0, IF(AND(OR(#REF!=#REF!,#REF!="NAN"), OR(#REF!=#REF!,#REF!="NAN"), OR(#REF!=#REF!,#REF!="NAN")),#REF!, 0))</f>
        <v>#REF!</v>
      </c>
      <c r="E35" t="e">
        <f>IF(#REF!="NAN","",IF(
   AND(OR(#REF!=#REF!,#REF!="NAN"),
     OR(#REF!=#REF!,#REF!="NAN"),
     OR(#REF!=#REF!,#REF!="NAN")),
   1,
   0))</f>
        <v>#REF!</v>
      </c>
      <c r="G35" t="e">
        <f>IF(OR(#REF!="UP",#REF!="DOWN"),1,0)</f>
        <v>#REF!</v>
      </c>
      <c r="H35" t="e">
        <f>IF(OR(#REF!="UP",#REF!="DOWN"),1,0)</f>
        <v>#REF!</v>
      </c>
      <c r="I35" t="e">
        <f>IF(OR(#REF!="UP",#REF!="DOWN"),1,0)</f>
        <v>#REF!</v>
      </c>
      <c r="M35" t="e">
        <f>IF(OR(#REF!="UP",#REF!="DOWN"),1,1)</f>
        <v>#REF!</v>
      </c>
      <c r="N35" t="e">
        <f>IF(OR(#REF!="UP",#REF!="DOWN"),VLOOKUP($C35,Configuración!$H$2:$K$11,3),1)</f>
        <v>#REF!</v>
      </c>
      <c r="O35" t="e">
        <f>IF(OR(#REF!="UP",#REF!="DOWN"),VLOOKUP($C35,Configuración!$H$2:$K$11,4),1)</f>
        <v>#REF!</v>
      </c>
      <c r="P35" t="e">
        <f t="shared" si="0"/>
        <v>#REF!</v>
      </c>
      <c r="Q35" t="e">
        <f t="shared" si="1"/>
        <v>#REF!</v>
      </c>
      <c r="R35" t="e">
        <f t="shared" si="2"/>
        <v>#REF!</v>
      </c>
      <c r="T35" t="e">
        <f>IF(R35&lt;&gt;0,Configuración!$E$2,0)</f>
        <v>#REF!</v>
      </c>
      <c r="U35" t="e">
        <f>IF(R35&lt;&gt;0,Configuración!$F$2,0)</f>
        <v>#REF!</v>
      </c>
      <c r="V35" t="e">
        <f>IF(R35&lt;&gt;0,Configuración!$G$2,0)</f>
        <v>#REF!</v>
      </c>
      <c r="W35" t="e">
        <f t="shared" si="3"/>
        <v>#REF!</v>
      </c>
      <c r="X35" t="e">
        <f t="shared" si="4"/>
        <v>#REF!</v>
      </c>
      <c r="Z35" t="e">
        <f t="shared" si="5"/>
        <v>#REF!</v>
      </c>
      <c r="AB35" t="e">
        <f t="shared" si="6"/>
        <v>#REF!</v>
      </c>
      <c r="AG35" t="e">
        <f t="shared" si="7"/>
        <v>#REF!</v>
      </c>
      <c r="AH35" s="5" t="e">
        <f t="shared" si="8"/>
        <v>#REF!</v>
      </c>
      <c r="AI35" t="e">
        <f t="shared" si="9"/>
        <v>#REF!</v>
      </c>
    </row>
    <row r="36" spans="1:37" x14ac:dyDescent="0.55000000000000004">
      <c r="A36" s="3">
        <v>45922</v>
      </c>
      <c r="B36" s="4">
        <v>0.625</v>
      </c>
      <c r="C36" t="s">
        <v>35</v>
      </c>
      <c r="D36" t="e">
        <f>IF(COUNTIF(#REF!,"&lt;&gt;NAN")=0, 0, IF(AND(OR(#REF!=#REF!,#REF!="NAN"), OR(#REF!=#REF!,#REF!="NAN"), OR(#REF!=#REF!,#REF!="NAN")),#REF!, 0))</f>
        <v>#REF!</v>
      </c>
      <c r="E36" t="e">
        <f>IF(#REF!="NAN","",IF(
   AND(OR(#REF!=#REF!,#REF!="NAN"),
     OR(#REF!=#REF!,#REF!="NAN"),
     OR(#REF!=#REF!,#REF!="NAN")),
   1,
   0))</f>
        <v>#REF!</v>
      </c>
      <c r="G36" t="e">
        <f>IF(OR(#REF!="UP",#REF!="DOWN"),1,0)</f>
        <v>#REF!</v>
      </c>
      <c r="H36" t="e">
        <f>IF(OR(#REF!="UP",#REF!="DOWN"),1,0)</f>
        <v>#REF!</v>
      </c>
      <c r="I36" t="e">
        <f>IF(OR(#REF!="UP",#REF!="DOWN"),1,0)</f>
        <v>#REF!</v>
      </c>
      <c r="M36" t="e">
        <f>IF(OR(#REF!="UP",#REF!="DOWN"),1,1)</f>
        <v>#REF!</v>
      </c>
      <c r="N36" t="e">
        <f>IF(OR(#REF!="UP",#REF!="DOWN"),VLOOKUP($C36,Configuración!$H$2:$K$11,3),1)</f>
        <v>#REF!</v>
      </c>
      <c r="O36" t="e">
        <f>IF(OR(#REF!="UP",#REF!="DOWN"),VLOOKUP($C36,Configuración!$H$2:$K$11,4),1)</f>
        <v>#REF!</v>
      </c>
      <c r="P36" t="e">
        <f t="shared" si="0"/>
        <v>#REF!</v>
      </c>
      <c r="Q36" t="e">
        <f t="shared" si="1"/>
        <v>#REF!</v>
      </c>
      <c r="R36" t="e">
        <f t="shared" si="2"/>
        <v>#REF!</v>
      </c>
      <c r="T36" t="e">
        <f>IF(R36&lt;&gt;0,Configuración!$E$2,0)</f>
        <v>#REF!</v>
      </c>
      <c r="U36" t="e">
        <f>IF(R36&lt;&gt;0,Configuración!$F$2,0)</f>
        <v>#REF!</v>
      </c>
      <c r="V36" t="e">
        <f>IF(R36&lt;&gt;0,Configuración!$G$2,0)</f>
        <v>#REF!</v>
      </c>
      <c r="W36" t="e">
        <f t="shared" si="3"/>
        <v>#REF!</v>
      </c>
      <c r="X36" t="e">
        <f t="shared" si="4"/>
        <v>#REF!</v>
      </c>
      <c r="Z36" t="e">
        <f t="shared" si="5"/>
        <v>#REF!</v>
      </c>
      <c r="AB36" t="e">
        <f t="shared" si="6"/>
        <v>#REF!</v>
      </c>
      <c r="AG36" t="e">
        <f t="shared" si="7"/>
        <v>#REF!</v>
      </c>
      <c r="AH36" s="5" t="e">
        <f t="shared" si="8"/>
        <v>#REF!</v>
      </c>
      <c r="AI36" t="e">
        <f t="shared" si="9"/>
        <v>#REF!</v>
      </c>
    </row>
    <row r="37" spans="1:37" x14ac:dyDescent="0.55000000000000004">
      <c r="A37" s="3">
        <v>45922</v>
      </c>
      <c r="B37" s="4">
        <v>0.625</v>
      </c>
      <c r="C37" t="s">
        <v>34</v>
      </c>
      <c r="D37" t="e">
        <f>IF(COUNTIF(#REF!,"&lt;&gt;NAN")=0, 0, IF(AND(OR(#REF!=#REF!,#REF!="NAN"), OR(#REF!=#REF!,#REF!="NAN"), OR(#REF!=#REF!,#REF!="NAN")),#REF!, 0))</f>
        <v>#REF!</v>
      </c>
      <c r="E37" t="e">
        <f>IF(#REF!="NAN","",IF(
   AND(OR(#REF!=#REF!,#REF!="NAN"),
     OR(#REF!=#REF!,#REF!="NAN"),
     OR(#REF!=#REF!,#REF!="NAN")),
   1,
   0))</f>
        <v>#REF!</v>
      </c>
      <c r="G37" t="e">
        <f>IF(OR(#REF!="UP",#REF!="DOWN"),1,0)</f>
        <v>#REF!</v>
      </c>
      <c r="H37" t="e">
        <f>IF(OR(#REF!="UP",#REF!="DOWN"),1,0)</f>
        <v>#REF!</v>
      </c>
      <c r="I37" t="e">
        <f>IF(OR(#REF!="UP",#REF!="DOWN"),1,0)</f>
        <v>#REF!</v>
      </c>
      <c r="M37" t="e">
        <f>IF(OR(#REF!="UP",#REF!="DOWN"),1,1)</f>
        <v>#REF!</v>
      </c>
      <c r="N37" t="e">
        <f>IF(OR(#REF!="UP",#REF!="DOWN"),VLOOKUP($C37,Configuración!$H$2:$K$11,3),1)</f>
        <v>#REF!</v>
      </c>
      <c r="O37" t="e">
        <f>IF(OR(#REF!="UP",#REF!="DOWN"),VLOOKUP($C37,Configuración!$H$2:$K$11,4),1)</f>
        <v>#REF!</v>
      </c>
      <c r="P37" t="e">
        <f t="shared" si="0"/>
        <v>#REF!</v>
      </c>
      <c r="Q37" t="e">
        <f t="shared" si="1"/>
        <v>#REF!</v>
      </c>
      <c r="R37" t="e">
        <f t="shared" si="2"/>
        <v>#REF!</v>
      </c>
      <c r="T37" t="e">
        <f>IF(R37&lt;&gt;0,Configuración!$E$2,0)</f>
        <v>#REF!</v>
      </c>
      <c r="U37" t="e">
        <f>IF(R37&lt;&gt;0,Configuración!$F$2,0)</f>
        <v>#REF!</v>
      </c>
      <c r="V37" t="e">
        <f>IF(R37&lt;&gt;0,Configuración!$G$2,0)</f>
        <v>#REF!</v>
      </c>
      <c r="W37" t="e">
        <f t="shared" si="3"/>
        <v>#REF!</v>
      </c>
      <c r="X37" t="e">
        <f t="shared" si="4"/>
        <v>#REF!</v>
      </c>
      <c r="Z37" t="e">
        <f t="shared" si="5"/>
        <v>#REF!</v>
      </c>
      <c r="AB37" t="e">
        <f t="shared" si="6"/>
        <v>#REF!</v>
      </c>
      <c r="AG37" t="e">
        <f t="shared" si="7"/>
        <v>#REF!</v>
      </c>
      <c r="AH37" s="5" t="e">
        <f t="shared" si="8"/>
        <v>#REF!</v>
      </c>
      <c r="AI37" t="e">
        <f t="shared" si="9"/>
        <v>#REF!</v>
      </c>
    </row>
    <row r="38" spans="1:37" x14ac:dyDescent="0.55000000000000004">
      <c r="A38" s="3">
        <v>45922</v>
      </c>
      <c r="B38" s="4">
        <v>0.625</v>
      </c>
      <c r="C38" t="s">
        <v>27</v>
      </c>
      <c r="D38" t="e">
        <f>IF(COUNTIF(#REF!,"&lt;&gt;NAN")=0, 0, IF(AND(OR(#REF!=#REF!,#REF!="NAN"), OR(#REF!=#REF!,#REF!="NAN"), OR(#REF!=#REF!,#REF!="NAN")),#REF!, 0))</f>
        <v>#REF!</v>
      </c>
      <c r="E38" t="e">
        <f>IF(#REF!="NAN","",IF(
   AND(OR(#REF!=#REF!,#REF!="NAN"),
     OR(#REF!=#REF!,#REF!="NAN"),
     OR(#REF!=#REF!,#REF!="NAN")),
   1,
   0))</f>
        <v>#REF!</v>
      </c>
      <c r="G38" t="e">
        <f>IF(OR(#REF!="UP",#REF!="DOWN"),1,0)</f>
        <v>#REF!</v>
      </c>
      <c r="H38" t="e">
        <f>IF(OR(#REF!="UP",#REF!="DOWN"),1,0)</f>
        <v>#REF!</v>
      </c>
      <c r="I38" t="e">
        <f>IF(OR(#REF!="UP",#REF!="DOWN"),1,0)</f>
        <v>#REF!</v>
      </c>
      <c r="M38" t="e">
        <f>IF(OR(#REF!="UP",#REF!="DOWN"),1,1)</f>
        <v>#REF!</v>
      </c>
      <c r="N38" t="e">
        <f>IF(OR(#REF!="UP",#REF!="DOWN"),VLOOKUP($C38,Configuración!$H$2:$K$11,3),1)</f>
        <v>#REF!</v>
      </c>
      <c r="O38" t="e">
        <f>IF(OR(#REF!="UP",#REF!="DOWN"),VLOOKUP($C38,Configuración!$H$2:$K$11,4),1)</f>
        <v>#REF!</v>
      </c>
      <c r="P38" t="e">
        <f t="shared" si="0"/>
        <v>#REF!</v>
      </c>
      <c r="Q38" t="e">
        <f t="shared" si="1"/>
        <v>#REF!</v>
      </c>
      <c r="R38" t="e">
        <f t="shared" si="2"/>
        <v>#REF!</v>
      </c>
      <c r="T38" t="e">
        <f>IF(R38&lt;&gt;0,Configuración!$E$2,0)</f>
        <v>#REF!</v>
      </c>
      <c r="U38" t="e">
        <f>IF(R38&lt;&gt;0,Configuración!$F$2,0)</f>
        <v>#REF!</v>
      </c>
      <c r="V38" t="e">
        <f>IF(R38&lt;&gt;0,Configuración!$G$2,0)</f>
        <v>#REF!</v>
      </c>
      <c r="W38" t="e">
        <f t="shared" si="3"/>
        <v>#REF!</v>
      </c>
      <c r="X38" t="e">
        <f t="shared" si="4"/>
        <v>#REF!</v>
      </c>
      <c r="Z38" t="e">
        <f t="shared" si="5"/>
        <v>#REF!</v>
      </c>
      <c r="AB38" t="e">
        <f t="shared" si="6"/>
        <v>#REF!</v>
      </c>
      <c r="AG38" t="e">
        <f>IF(R38="DOWN",(S38-AA38)/S38*1000,(AA38-S38)/S38*1000)</f>
        <v>#REF!</v>
      </c>
      <c r="AH38" s="5" t="e">
        <f t="shared" si="8"/>
        <v>#REF!</v>
      </c>
      <c r="AI38" t="e">
        <f t="shared" si="9"/>
        <v>#REF!</v>
      </c>
    </row>
    <row r="39" spans="1:37" x14ac:dyDescent="0.55000000000000004">
      <c r="A39" s="3">
        <v>45922</v>
      </c>
      <c r="B39" s="4">
        <v>0.625</v>
      </c>
      <c r="C39" t="s">
        <v>28</v>
      </c>
      <c r="D39" t="e">
        <f>IF(COUNTIF(#REF!,"&lt;&gt;NAN")=0, 0, IF(AND(OR(#REF!=#REF!,#REF!="NAN"), OR(#REF!=#REF!,#REF!="NAN"), OR(#REF!=#REF!,#REF!="NAN")),#REF!, 0))</f>
        <v>#REF!</v>
      </c>
      <c r="E39" t="e">
        <f>IF(#REF!="NAN","",IF(
   AND(OR(#REF!=#REF!,#REF!="NAN"),
     OR(#REF!=#REF!,#REF!="NAN"),
     OR(#REF!=#REF!,#REF!="NAN")),
   1,
   0))</f>
        <v>#REF!</v>
      </c>
      <c r="G39" t="e">
        <f>IF(OR(#REF!="UP",#REF!="DOWN"),1,0)</f>
        <v>#REF!</v>
      </c>
      <c r="H39" t="e">
        <f>IF(OR(#REF!="UP",#REF!="DOWN"),1,0)</f>
        <v>#REF!</v>
      </c>
      <c r="I39" t="e">
        <f>IF(OR(#REF!="UP",#REF!="DOWN"),1,0)</f>
        <v>#REF!</v>
      </c>
      <c r="M39" t="e">
        <f>IF(OR(#REF!="UP",#REF!="DOWN"),1,1)</f>
        <v>#REF!</v>
      </c>
      <c r="N39" t="e">
        <f>IF(OR(#REF!="UP",#REF!="DOWN"),VLOOKUP($C39,Configuración!$H$2:$K$11,3),1)</f>
        <v>#REF!</v>
      </c>
      <c r="O39" t="e">
        <f>IF(OR(#REF!="UP",#REF!="DOWN"),VLOOKUP($C39,Configuración!$H$2:$K$11,4),1)</f>
        <v>#REF!</v>
      </c>
      <c r="P39" t="e">
        <f t="shared" si="0"/>
        <v>#REF!</v>
      </c>
      <c r="Q39" t="e">
        <f t="shared" si="1"/>
        <v>#REF!</v>
      </c>
      <c r="R39" t="e">
        <f t="shared" si="2"/>
        <v>#REF!</v>
      </c>
      <c r="T39" t="e">
        <f>IF(R39&lt;&gt;0,Configuración!$E$2,0)</f>
        <v>#REF!</v>
      </c>
      <c r="U39" t="e">
        <f>IF(R39&lt;&gt;0,Configuración!$F$2,0)</f>
        <v>#REF!</v>
      </c>
      <c r="V39" t="e">
        <f>IF(R39&lt;&gt;0,Configuración!$G$2,0)</f>
        <v>#REF!</v>
      </c>
      <c r="W39" t="e">
        <f t="shared" si="3"/>
        <v>#REF!</v>
      </c>
      <c r="X39" t="e">
        <f t="shared" si="4"/>
        <v>#REF!</v>
      </c>
      <c r="Z39" t="e">
        <f t="shared" si="5"/>
        <v>#REF!</v>
      </c>
      <c r="AB39" t="e">
        <f t="shared" si="6"/>
        <v>#REF!</v>
      </c>
      <c r="AG39" t="e">
        <f t="shared" si="7"/>
        <v>#REF!</v>
      </c>
      <c r="AH39" s="5" t="e">
        <f t="shared" si="8"/>
        <v>#REF!</v>
      </c>
      <c r="AI39" t="e">
        <f t="shared" si="9"/>
        <v>#REF!</v>
      </c>
    </row>
    <row r="40" spans="1:37" x14ac:dyDescent="0.55000000000000004">
      <c r="A40" s="3">
        <v>45922</v>
      </c>
      <c r="B40" s="4">
        <v>0.625</v>
      </c>
      <c r="C40" t="s">
        <v>30</v>
      </c>
      <c r="D40" t="e">
        <f>IF(COUNTIF(#REF!,"&lt;&gt;NAN")=0, 0, IF(AND(OR(#REF!=#REF!,#REF!="NAN"), OR(#REF!=#REF!,#REF!="NAN"), OR(#REF!=#REF!,#REF!="NAN")),#REF!, 0))</f>
        <v>#REF!</v>
      </c>
      <c r="E40" t="e">
        <f>IF(#REF!="NAN","",IF(
   AND(OR(#REF!=#REF!,#REF!="NAN"),
     OR(#REF!=#REF!,#REF!="NAN"),
     OR(#REF!=#REF!,#REF!="NAN")),
   1,
   0))</f>
        <v>#REF!</v>
      </c>
      <c r="G40" t="e">
        <f>IF(OR(#REF!="UP",#REF!="DOWN"),1,0)</f>
        <v>#REF!</v>
      </c>
      <c r="H40" t="e">
        <f>IF(OR(#REF!="UP",#REF!="DOWN"),1,0)</f>
        <v>#REF!</v>
      </c>
      <c r="I40" t="e">
        <f>IF(OR(#REF!="UP",#REF!="DOWN"),1,0)</f>
        <v>#REF!</v>
      </c>
      <c r="M40" t="e">
        <f>IF(OR(#REF!="UP",#REF!="DOWN"),1,1)</f>
        <v>#REF!</v>
      </c>
      <c r="N40" t="e">
        <f>IF(OR(#REF!="UP",#REF!="DOWN"),VLOOKUP($C40,Configuración!$H$2:$K$11,3),1)</f>
        <v>#REF!</v>
      </c>
      <c r="O40" t="e">
        <f>IF(OR(#REF!="UP",#REF!="DOWN"),VLOOKUP($C40,Configuración!$H$2:$K$11,4),1)</f>
        <v>#REF!</v>
      </c>
      <c r="P40" t="e">
        <f t="shared" si="0"/>
        <v>#REF!</v>
      </c>
      <c r="Q40" t="e">
        <f t="shared" si="1"/>
        <v>#REF!</v>
      </c>
      <c r="R40" t="e">
        <f t="shared" si="2"/>
        <v>#REF!</v>
      </c>
      <c r="T40" t="e">
        <f>IF(R40&lt;&gt;0,Configuración!$E$2,0)</f>
        <v>#REF!</v>
      </c>
      <c r="U40" t="e">
        <f>IF(R40&lt;&gt;0,Configuración!$F$2,0)</f>
        <v>#REF!</v>
      </c>
      <c r="V40" t="e">
        <f>IF(R40&lt;&gt;0,Configuración!$G$2,0)</f>
        <v>#REF!</v>
      </c>
      <c r="W40" t="e">
        <f t="shared" si="3"/>
        <v>#REF!</v>
      </c>
      <c r="X40" t="e">
        <f t="shared" si="4"/>
        <v>#REF!</v>
      </c>
      <c r="Z40" t="e">
        <f t="shared" si="5"/>
        <v>#REF!</v>
      </c>
      <c r="AB40" t="e">
        <f t="shared" si="6"/>
        <v>#REF!</v>
      </c>
      <c r="AG40" t="e">
        <f t="shared" si="7"/>
        <v>#REF!</v>
      </c>
      <c r="AH40" s="5" t="e">
        <f t="shared" si="8"/>
        <v>#REF!</v>
      </c>
      <c r="AI40" t="e">
        <f t="shared" si="9"/>
        <v>#REF!</v>
      </c>
    </row>
    <row r="41" spans="1:37" x14ac:dyDescent="0.55000000000000004">
      <c r="A41" s="3">
        <v>45922</v>
      </c>
      <c r="B41" s="4">
        <v>0.625</v>
      </c>
      <c r="C41" t="s">
        <v>29</v>
      </c>
      <c r="D41" t="e">
        <f>IF(COUNTIF(#REF!,"&lt;&gt;NAN")=0, 0, IF(AND(OR(#REF!=#REF!,#REF!="NAN"), OR(#REF!=#REF!,#REF!="NAN"), OR(#REF!=#REF!,#REF!="NAN")),#REF!, 0))</f>
        <v>#REF!</v>
      </c>
      <c r="E41" t="e">
        <f>IF(#REF!="NAN","",IF(
   AND(OR(#REF!=#REF!,#REF!="NAN"),
     OR(#REF!=#REF!,#REF!="NAN"),
     OR(#REF!=#REF!,#REF!="NAN")),
   1,
   0))</f>
        <v>#REF!</v>
      </c>
      <c r="G41" t="e">
        <f>IF(OR(#REF!="UP",#REF!="DOWN"),1,0)</f>
        <v>#REF!</v>
      </c>
      <c r="H41" t="e">
        <f>IF(OR(#REF!="UP",#REF!="DOWN"),1,0)</f>
        <v>#REF!</v>
      </c>
      <c r="I41" t="e">
        <f>IF(OR(#REF!="UP",#REF!="DOWN"),1,0)</f>
        <v>#REF!</v>
      </c>
      <c r="M41" t="e">
        <f>IF(OR(#REF!="UP",#REF!="DOWN"),1,1)</f>
        <v>#REF!</v>
      </c>
      <c r="N41" t="e">
        <f>IF(OR(#REF!="UP",#REF!="DOWN"),VLOOKUP($C41,Configuración!$H$2:$K$11,3),1)</f>
        <v>#REF!</v>
      </c>
      <c r="O41" t="e">
        <f>IF(OR(#REF!="UP",#REF!="DOWN"),VLOOKUP($C41,Configuración!$H$2:$K$11,4),1)</f>
        <v>#REF!</v>
      </c>
      <c r="P41" t="e">
        <f t="shared" si="0"/>
        <v>#REF!</v>
      </c>
      <c r="Q41" t="e">
        <f t="shared" si="1"/>
        <v>#REF!</v>
      </c>
      <c r="R41" t="s">
        <v>38</v>
      </c>
      <c r="S41">
        <v>0.78961000000000003</v>
      </c>
      <c r="T41">
        <f>IF(R41&lt;&gt;0,Configuración!$E$2,0)</f>
        <v>1</v>
      </c>
      <c r="U41">
        <f>IF(R41&lt;&gt;0,Configuración!$F$2,0)</f>
        <v>2</v>
      </c>
      <c r="V41">
        <f>IF(R41&lt;&gt;0,Configuración!$G$2,0)</f>
        <v>5</v>
      </c>
      <c r="W41">
        <f t="shared" si="3"/>
        <v>0.7975061</v>
      </c>
      <c r="X41">
        <f t="shared" si="4"/>
        <v>0.7738178</v>
      </c>
      <c r="Y41">
        <v>0.79376000000000002</v>
      </c>
      <c r="Z41" t="str">
        <f t="shared" si="5"/>
        <v/>
      </c>
      <c r="AB41">
        <f t="shared" si="6"/>
        <v>0.72040000000000004</v>
      </c>
      <c r="AG41">
        <f t="shared" si="7"/>
        <v>1000</v>
      </c>
      <c r="AH41" s="5">
        <f t="shared" si="8"/>
        <v>720.40000000000009</v>
      </c>
      <c r="AI41" t="str">
        <f>IF(AK41&lt;V41,"MANTENER","CERRAR")</f>
        <v>MANTENER</v>
      </c>
      <c r="AK41">
        <v>3</v>
      </c>
    </row>
    <row r="42" spans="1:37" x14ac:dyDescent="0.55000000000000004">
      <c r="A42" s="3">
        <v>45922</v>
      </c>
      <c r="B42" s="4">
        <v>0.625</v>
      </c>
      <c r="C42" t="s">
        <v>31</v>
      </c>
      <c r="D42" t="e">
        <f>IF(COUNTIF(#REF!,"&lt;&gt;NAN")=0, 0, IF(AND(OR(#REF!=#REF!,#REF!="NAN"), OR(#REF!=#REF!,#REF!="NAN"), OR(#REF!=#REF!,#REF!="NAN")),#REF!, 0))</f>
        <v>#REF!</v>
      </c>
      <c r="E42" t="e">
        <f>IF(#REF!="NAN","",IF(
   AND(OR(#REF!=#REF!,#REF!="NAN"),
     OR(#REF!=#REF!,#REF!="NAN"),
     OR(#REF!=#REF!,#REF!="NAN")),
   1,
   0))</f>
        <v>#REF!</v>
      </c>
      <c r="G42" t="e">
        <f>IF(OR(#REF!="UP",#REF!="DOWN"),1,0)</f>
        <v>#REF!</v>
      </c>
      <c r="H42" t="e">
        <f>IF(OR(#REF!="UP",#REF!="DOWN"),1,0)</f>
        <v>#REF!</v>
      </c>
      <c r="I42" t="e">
        <f>IF(OR(#REF!="UP",#REF!="DOWN"),1,0)</f>
        <v>#REF!</v>
      </c>
      <c r="M42" t="e">
        <f>IF(OR(#REF!="UP",#REF!="DOWN"),1,1)</f>
        <v>#REF!</v>
      </c>
      <c r="N42" t="e">
        <f>IF(OR(#REF!="UP",#REF!="DOWN"),VLOOKUP($C42,Configuración!$H$2:$K$11,3),1)</f>
        <v>#REF!</v>
      </c>
      <c r="O42" t="e">
        <f>IF(OR(#REF!="UP",#REF!="DOWN"),VLOOKUP($C42,Configuración!$H$2:$K$11,4),1)</f>
        <v>#REF!</v>
      </c>
      <c r="P42" t="e">
        <f t="shared" si="0"/>
        <v>#REF!</v>
      </c>
      <c r="Q42" t="e">
        <f t="shared" si="1"/>
        <v>#REF!</v>
      </c>
      <c r="R42" t="e">
        <f t="shared" si="2"/>
        <v>#REF!</v>
      </c>
      <c r="T42" t="e">
        <f>IF(R42&lt;&gt;0,Configuración!$E$2,0)</f>
        <v>#REF!</v>
      </c>
      <c r="U42" t="e">
        <f>IF(R42&lt;&gt;0,Configuración!$F$2,0)</f>
        <v>#REF!</v>
      </c>
      <c r="V42" t="e">
        <f>IF(R42&lt;&gt;0,Configuración!$G$2,0)</f>
        <v>#REF!</v>
      </c>
      <c r="W42" t="e">
        <f t="shared" si="3"/>
        <v>#REF!</v>
      </c>
      <c r="X42" t="e">
        <f t="shared" si="4"/>
        <v>#REF!</v>
      </c>
      <c r="Z42" t="e">
        <f t="shared" si="5"/>
        <v>#REF!</v>
      </c>
      <c r="AB42" t="e">
        <f t="shared" si="6"/>
        <v>#REF!</v>
      </c>
      <c r="AG42" t="e">
        <f t="shared" si="7"/>
        <v>#REF!</v>
      </c>
      <c r="AH42" s="5" t="e">
        <f t="shared" si="8"/>
        <v>#REF!</v>
      </c>
      <c r="AI42" t="e">
        <f t="shared" si="9"/>
        <v>#REF!</v>
      </c>
    </row>
    <row r="43" spans="1:37" x14ac:dyDescent="0.55000000000000004">
      <c r="A43" s="3">
        <v>45923</v>
      </c>
      <c r="B43" s="4">
        <v>0.625</v>
      </c>
      <c r="C43" t="s">
        <v>32</v>
      </c>
      <c r="D43" t="e">
        <f>IF(COUNTIF(#REF!,"&lt;&gt;NAN")=0, 0, IF(AND(OR(#REF!=#REF!,#REF!="NAN"), OR(#REF!=#REF!,#REF!="NAN"), OR(#REF!=#REF!,#REF!="NAN")),#REF!, 0))</f>
        <v>#REF!</v>
      </c>
      <c r="E43" t="e">
        <f>IF(#REF!="NAN","",IF(
   AND(OR(#REF!=#REF!,#REF!="NAN"),
     OR(#REF!=#REF!,#REF!="NAN"),
     OR(#REF!=#REF!,#REF!="NAN")),
   1,
   0))</f>
        <v>#REF!</v>
      </c>
      <c r="G43" t="e">
        <f>IF(OR(#REF!="UP",#REF!="DOWN"),1,0)</f>
        <v>#REF!</v>
      </c>
      <c r="H43" t="e">
        <f>IF(OR(#REF!="UP",#REF!="DOWN"),1,0)</f>
        <v>#REF!</v>
      </c>
      <c r="I43" t="e">
        <f>IF(OR(#REF!="UP",#REF!="DOWN"),1,0)</f>
        <v>#REF!</v>
      </c>
      <c r="M43" t="e">
        <f>IF(OR(#REF!="UP",#REF!="DOWN"),1,1)</f>
        <v>#REF!</v>
      </c>
      <c r="N43" t="e">
        <f>IF(OR(#REF!="UP",#REF!="DOWN"),VLOOKUP($C43,Configuración!$H$2:$K$11,3),1)</f>
        <v>#REF!</v>
      </c>
      <c r="O43" t="e">
        <f>IF(OR(#REF!="UP",#REF!="DOWN"),VLOOKUP($C43,Configuración!$H$2:$K$11,4),1)</f>
        <v>#REF!</v>
      </c>
      <c r="P43" t="e">
        <f t="shared" si="0"/>
        <v>#REF!</v>
      </c>
      <c r="Q43" t="e">
        <f t="shared" si="1"/>
        <v>#REF!</v>
      </c>
      <c r="R43" t="e">
        <f t="shared" si="2"/>
        <v>#REF!</v>
      </c>
      <c r="T43" t="e">
        <f>IF(R43&lt;&gt;0,Configuración!$E$2,0)</f>
        <v>#REF!</v>
      </c>
      <c r="U43" t="e">
        <f>IF(R43&lt;&gt;0,Configuración!$F$2,0)</f>
        <v>#REF!</v>
      </c>
      <c r="V43" t="e">
        <f>IF(R43&lt;&gt;0,Configuración!$G$2,0)</f>
        <v>#REF!</v>
      </c>
      <c r="W43" t="e">
        <f t="shared" si="3"/>
        <v>#REF!</v>
      </c>
      <c r="X43" t="e">
        <f t="shared" si="4"/>
        <v>#REF!</v>
      </c>
      <c r="Z43" t="e">
        <f t="shared" si="5"/>
        <v>#REF!</v>
      </c>
      <c r="AB43" t="e">
        <f t="shared" si="6"/>
        <v>#REF!</v>
      </c>
      <c r="AG43" t="e">
        <f t="shared" si="7"/>
        <v>#REF!</v>
      </c>
      <c r="AH43" s="5" t="e">
        <f t="shared" si="8"/>
        <v>#REF!</v>
      </c>
      <c r="AI43" t="e">
        <f t="shared" si="9"/>
        <v>#REF!</v>
      </c>
    </row>
    <row r="44" spans="1:37" x14ac:dyDescent="0.55000000000000004">
      <c r="A44" s="3">
        <v>45923</v>
      </c>
      <c r="B44" s="4">
        <v>0.625</v>
      </c>
      <c r="C44" t="s">
        <v>26</v>
      </c>
      <c r="D44" t="e">
        <f>IF(COUNTIF(#REF!,"&lt;&gt;NAN")=0, 0, IF(AND(OR(#REF!=#REF!,#REF!="NAN"), OR(#REF!=#REF!,#REF!="NAN"), OR(#REF!=#REF!,#REF!="NAN")),#REF!, 0))</f>
        <v>#REF!</v>
      </c>
      <c r="E44" t="e">
        <f>IF(#REF!="NAN","",IF(
   AND(OR(#REF!=#REF!,#REF!="NAN"),
     OR(#REF!=#REF!,#REF!="NAN"),
     OR(#REF!=#REF!,#REF!="NAN")),
   1,
   0))</f>
        <v>#REF!</v>
      </c>
      <c r="G44" t="e">
        <f>IF(OR(#REF!="UP",#REF!="DOWN"),1,0)</f>
        <v>#REF!</v>
      </c>
      <c r="H44" t="e">
        <f>IF(OR(#REF!="UP",#REF!="DOWN"),1,0)</f>
        <v>#REF!</v>
      </c>
      <c r="I44" t="e">
        <f>IF(OR(#REF!="UP",#REF!="DOWN"),1,0)</f>
        <v>#REF!</v>
      </c>
      <c r="M44" t="e">
        <f>IF(OR(#REF!="UP",#REF!="DOWN"),1,1)</f>
        <v>#REF!</v>
      </c>
      <c r="N44" t="e">
        <f>IF(OR(#REF!="UP",#REF!="DOWN"),VLOOKUP($C44,Configuración!$H$2:$K$11,3),1)</f>
        <v>#REF!</v>
      </c>
      <c r="O44" t="e">
        <f>IF(OR(#REF!="UP",#REF!="DOWN"),VLOOKUP($C44,Configuración!$H$2:$K$11,4),1)</f>
        <v>#REF!</v>
      </c>
      <c r="P44" t="e">
        <f t="shared" si="0"/>
        <v>#REF!</v>
      </c>
      <c r="Q44" t="e">
        <f t="shared" si="1"/>
        <v>#REF!</v>
      </c>
      <c r="R44" t="e">
        <f t="shared" si="2"/>
        <v>#REF!</v>
      </c>
      <c r="T44" t="e">
        <f>IF(R44&lt;&gt;0,Configuración!$E$2,0)</f>
        <v>#REF!</v>
      </c>
      <c r="U44" t="e">
        <f>IF(R44&lt;&gt;0,Configuración!$F$2,0)</f>
        <v>#REF!</v>
      </c>
      <c r="V44" t="e">
        <f>IF(R44&lt;&gt;0,Configuración!$G$2,0)</f>
        <v>#REF!</v>
      </c>
      <c r="W44" t="e">
        <f t="shared" si="3"/>
        <v>#REF!</v>
      </c>
      <c r="X44" t="e">
        <f t="shared" si="4"/>
        <v>#REF!</v>
      </c>
      <c r="Z44" t="e">
        <f t="shared" si="5"/>
        <v>#REF!</v>
      </c>
      <c r="AB44" t="e">
        <f t="shared" si="6"/>
        <v>#REF!</v>
      </c>
      <c r="AG44" t="e">
        <f t="shared" si="7"/>
        <v>#REF!</v>
      </c>
      <c r="AH44" s="5" t="e">
        <f t="shared" si="8"/>
        <v>#REF!</v>
      </c>
      <c r="AI44" t="e">
        <f t="shared" si="9"/>
        <v>#REF!</v>
      </c>
    </row>
    <row r="45" spans="1:37" x14ac:dyDescent="0.55000000000000004">
      <c r="A45" s="3">
        <v>45923</v>
      </c>
      <c r="B45" s="4">
        <v>0.625</v>
      </c>
      <c r="C45" t="s">
        <v>33</v>
      </c>
      <c r="D45" t="e">
        <f>IF(COUNTIF(#REF!,"&lt;&gt;NAN")=0, 0, IF(AND(OR(#REF!=#REF!,#REF!="NAN"), OR(#REF!=#REF!,#REF!="NAN"), OR(#REF!=#REF!,#REF!="NAN")),#REF!, 0))</f>
        <v>#REF!</v>
      </c>
      <c r="E45" t="e">
        <f>IF(#REF!="NAN","",IF(
   AND(OR(#REF!=#REF!,#REF!="NAN"),
     OR(#REF!=#REF!,#REF!="NAN"),
     OR(#REF!=#REF!,#REF!="NAN")),
   1,
   0))</f>
        <v>#REF!</v>
      </c>
      <c r="G45" t="e">
        <f>IF(OR(#REF!="UP",#REF!="DOWN"),1,0)</f>
        <v>#REF!</v>
      </c>
      <c r="H45" t="e">
        <f>IF(OR(#REF!="UP",#REF!="DOWN"),1,0)</f>
        <v>#REF!</v>
      </c>
      <c r="I45" t="e">
        <f>IF(OR(#REF!="UP",#REF!="DOWN"),1,0)</f>
        <v>#REF!</v>
      </c>
      <c r="M45" t="e">
        <f>IF(OR(#REF!="UP",#REF!="DOWN"),1,1)</f>
        <v>#REF!</v>
      </c>
      <c r="N45" t="e">
        <f>IF(OR(#REF!="UP",#REF!="DOWN"),VLOOKUP($C45,Configuración!$H$2:$K$11,3),1)</f>
        <v>#REF!</v>
      </c>
      <c r="O45" t="e">
        <f>IF(OR(#REF!="UP",#REF!="DOWN"),VLOOKUP($C45,Configuración!$H$2:$K$11,4),1)</f>
        <v>#REF!</v>
      </c>
      <c r="P45" t="e">
        <f t="shared" si="0"/>
        <v>#REF!</v>
      </c>
      <c r="Q45" t="e">
        <f t="shared" si="1"/>
        <v>#REF!</v>
      </c>
      <c r="R45" t="e">
        <f t="shared" si="2"/>
        <v>#REF!</v>
      </c>
      <c r="T45" t="e">
        <f>IF(R45&lt;&gt;0,Configuración!$E$2,0)</f>
        <v>#REF!</v>
      </c>
      <c r="U45" t="e">
        <f>IF(R45&lt;&gt;0,Configuración!$F$2,0)</f>
        <v>#REF!</v>
      </c>
      <c r="V45" t="e">
        <f>IF(R45&lt;&gt;0,Configuración!$G$2,0)</f>
        <v>#REF!</v>
      </c>
      <c r="W45" t="e">
        <f t="shared" si="3"/>
        <v>#REF!</v>
      </c>
      <c r="X45" t="e">
        <f t="shared" si="4"/>
        <v>#REF!</v>
      </c>
      <c r="Z45" t="e">
        <f t="shared" si="5"/>
        <v>#REF!</v>
      </c>
      <c r="AB45" t="e">
        <f t="shared" si="6"/>
        <v>#REF!</v>
      </c>
      <c r="AG45" t="e">
        <f t="shared" si="7"/>
        <v>#REF!</v>
      </c>
      <c r="AH45" s="5" t="e">
        <f t="shared" si="8"/>
        <v>#REF!</v>
      </c>
      <c r="AI45" t="e">
        <f t="shared" si="9"/>
        <v>#REF!</v>
      </c>
    </row>
    <row r="46" spans="1:37" x14ac:dyDescent="0.55000000000000004">
      <c r="A46" s="3">
        <v>45923</v>
      </c>
      <c r="B46" s="4">
        <v>0.625</v>
      </c>
      <c r="C46" t="s">
        <v>35</v>
      </c>
      <c r="D46" t="e">
        <f>IF(COUNTIF(#REF!,"&lt;&gt;NAN")=0, 0, IF(AND(OR(#REF!=#REF!,#REF!="NAN"), OR(#REF!=#REF!,#REF!="NAN"), OR(#REF!=#REF!,#REF!="NAN")),#REF!, 0))</f>
        <v>#REF!</v>
      </c>
      <c r="E46" t="e">
        <f>IF(#REF!="NAN","",IF(
   AND(OR(#REF!=#REF!,#REF!="NAN"),
     OR(#REF!=#REF!,#REF!="NAN"),
     OR(#REF!=#REF!,#REF!="NAN")),
   1,
   0))</f>
        <v>#REF!</v>
      </c>
      <c r="G46" t="e">
        <f>IF(OR(#REF!="UP",#REF!="DOWN"),1,0)</f>
        <v>#REF!</v>
      </c>
      <c r="H46" t="e">
        <f>IF(OR(#REF!="UP",#REF!="DOWN"),1,0)</f>
        <v>#REF!</v>
      </c>
      <c r="I46" t="e">
        <f>IF(OR(#REF!="UP",#REF!="DOWN"),1,0)</f>
        <v>#REF!</v>
      </c>
      <c r="M46" t="e">
        <f>IF(OR(#REF!="UP",#REF!="DOWN"),1,1)</f>
        <v>#REF!</v>
      </c>
      <c r="N46" t="e">
        <f>IF(OR(#REF!="UP",#REF!="DOWN"),VLOOKUP($C46,Configuración!$H$2:$K$11,3),1)</f>
        <v>#REF!</v>
      </c>
      <c r="O46" t="e">
        <f>IF(OR(#REF!="UP",#REF!="DOWN"),VLOOKUP($C46,Configuración!$H$2:$K$11,4),1)</f>
        <v>#REF!</v>
      </c>
      <c r="P46" t="e">
        <f t="shared" si="0"/>
        <v>#REF!</v>
      </c>
      <c r="Q46" t="e">
        <f t="shared" si="1"/>
        <v>#REF!</v>
      </c>
      <c r="R46" t="e">
        <f t="shared" si="2"/>
        <v>#REF!</v>
      </c>
      <c r="T46" t="e">
        <f>IF(R46&lt;&gt;0,Configuración!$E$2,0)</f>
        <v>#REF!</v>
      </c>
      <c r="U46" t="e">
        <f>IF(R46&lt;&gt;0,Configuración!$F$2,0)</f>
        <v>#REF!</v>
      </c>
      <c r="V46" t="e">
        <f>IF(R46&lt;&gt;0,Configuración!$G$2,0)</f>
        <v>#REF!</v>
      </c>
      <c r="W46" t="e">
        <f t="shared" si="3"/>
        <v>#REF!</v>
      </c>
      <c r="X46" t="e">
        <f t="shared" si="4"/>
        <v>#REF!</v>
      </c>
      <c r="Z46" t="e">
        <f t="shared" si="5"/>
        <v>#REF!</v>
      </c>
      <c r="AB46" t="e">
        <f t="shared" si="6"/>
        <v>#REF!</v>
      </c>
      <c r="AG46" t="e">
        <f t="shared" si="7"/>
        <v>#REF!</v>
      </c>
      <c r="AH46" s="5" t="e">
        <f t="shared" si="8"/>
        <v>#REF!</v>
      </c>
      <c r="AI46" t="e">
        <f t="shared" si="9"/>
        <v>#REF!</v>
      </c>
    </row>
    <row r="47" spans="1:37" x14ac:dyDescent="0.55000000000000004">
      <c r="A47" s="3">
        <v>45923</v>
      </c>
      <c r="B47" s="4">
        <v>0.625</v>
      </c>
      <c r="C47" t="s">
        <v>34</v>
      </c>
      <c r="D47" t="e">
        <f>IF(COUNTIF(#REF!,"&lt;&gt;NAN")=0, 0, IF(AND(OR(#REF!=#REF!,#REF!="NAN"), OR(#REF!=#REF!,#REF!="NAN"), OR(#REF!=#REF!,#REF!="NAN")),#REF!, 0))</f>
        <v>#REF!</v>
      </c>
      <c r="E47" t="e">
        <f>IF(#REF!="NAN","",IF(
   AND(OR(#REF!=#REF!,#REF!="NAN"),
     OR(#REF!=#REF!,#REF!="NAN"),
     OR(#REF!=#REF!,#REF!="NAN")),
   1,
   0))</f>
        <v>#REF!</v>
      </c>
      <c r="G47" t="e">
        <f>IF(OR(#REF!="UP",#REF!="DOWN"),1,0)</f>
        <v>#REF!</v>
      </c>
      <c r="H47" t="e">
        <f>IF(OR(#REF!="UP",#REF!="DOWN"),1,0)</f>
        <v>#REF!</v>
      </c>
      <c r="I47" t="e">
        <f>IF(OR(#REF!="UP",#REF!="DOWN"),1,0)</f>
        <v>#REF!</v>
      </c>
      <c r="M47" t="e">
        <f>IF(OR(#REF!="UP",#REF!="DOWN"),1,1)</f>
        <v>#REF!</v>
      </c>
      <c r="N47" t="e">
        <f>IF(OR(#REF!="UP",#REF!="DOWN"),VLOOKUP($C47,Configuración!$H$2:$K$11,3),1)</f>
        <v>#REF!</v>
      </c>
      <c r="O47" t="e">
        <f>IF(OR(#REF!="UP",#REF!="DOWN"),VLOOKUP($C47,Configuración!$H$2:$K$11,4),1)</f>
        <v>#REF!</v>
      </c>
      <c r="P47" t="e">
        <f t="shared" si="0"/>
        <v>#REF!</v>
      </c>
      <c r="Q47" t="e">
        <f t="shared" si="1"/>
        <v>#REF!</v>
      </c>
      <c r="R47" t="e">
        <f t="shared" si="2"/>
        <v>#REF!</v>
      </c>
      <c r="T47" t="e">
        <f>IF(R47&lt;&gt;0,Configuración!$E$2,0)</f>
        <v>#REF!</v>
      </c>
      <c r="U47" t="e">
        <f>IF(R47&lt;&gt;0,Configuración!$F$2,0)</f>
        <v>#REF!</v>
      </c>
      <c r="V47" t="e">
        <f>IF(R47&lt;&gt;0,Configuración!$G$2,0)</f>
        <v>#REF!</v>
      </c>
      <c r="W47" t="e">
        <f t="shared" si="3"/>
        <v>#REF!</v>
      </c>
      <c r="X47" t="e">
        <f t="shared" si="4"/>
        <v>#REF!</v>
      </c>
      <c r="Z47" t="e">
        <f t="shared" si="5"/>
        <v>#REF!</v>
      </c>
      <c r="AB47" t="e">
        <f t="shared" si="6"/>
        <v>#REF!</v>
      </c>
      <c r="AG47" t="e">
        <f t="shared" si="7"/>
        <v>#REF!</v>
      </c>
      <c r="AH47" s="5" t="e">
        <f t="shared" si="8"/>
        <v>#REF!</v>
      </c>
      <c r="AI47" t="e">
        <f t="shared" si="9"/>
        <v>#REF!</v>
      </c>
    </row>
    <row r="48" spans="1:37" x14ac:dyDescent="0.55000000000000004">
      <c r="A48" s="3">
        <v>45923</v>
      </c>
      <c r="B48" s="4">
        <v>0.625</v>
      </c>
      <c r="C48" t="s">
        <v>27</v>
      </c>
      <c r="D48" t="e">
        <f>IF(COUNTIF(#REF!,"&lt;&gt;NAN")=0, 0, IF(AND(OR(#REF!=#REF!,#REF!="NAN"), OR(#REF!=#REF!,#REF!="NAN"), OR(#REF!=#REF!,#REF!="NAN")),#REF!, 0))</f>
        <v>#REF!</v>
      </c>
      <c r="E48" t="e">
        <f>IF(#REF!="NAN","",IF(
   AND(OR(#REF!=#REF!,#REF!="NAN"),
     OR(#REF!=#REF!,#REF!="NAN"),
     OR(#REF!=#REF!,#REF!="NAN")),
   1,
   0))</f>
        <v>#REF!</v>
      </c>
      <c r="G48" t="e">
        <f>IF(OR(#REF!="UP",#REF!="DOWN"),1,0)</f>
        <v>#REF!</v>
      </c>
      <c r="H48" t="e">
        <f>IF(OR(#REF!="UP",#REF!="DOWN"),1,0)</f>
        <v>#REF!</v>
      </c>
      <c r="I48" t="e">
        <f>IF(OR(#REF!="UP",#REF!="DOWN"),1,0)</f>
        <v>#REF!</v>
      </c>
      <c r="M48" t="e">
        <f>IF(OR(#REF!="UP",#REF!="DOWN"),1,1)</f>
        <v>#REF!</v>
      </c>
      <c r="N48" t="e">
        <f>IF(OR(#REF!="UP",#REF!="DOWN"),VLOOKUP($C48,Configuración!$H$2:$K$11,3),1)</f>
        <v>#REF!</v>
      </c>
      <c r="O48" t="e">
        <f>IF(OR(#REF!="UP",#REF!="DOWN"),VLOOKUP($C48,Configuración!$H$2:$K$11,4),1)</f>
        <v>#REF!</v>
      </c>
      <c r="P48" t="e">
        <f t="shared" si="0"/>
        <v>#REF!</v>
      </c>
      <c r="Q48" t="e">
        <f t="shared" si="1"/>
        <v>#REF!</v>
      </c>
      <c r="R48" t="e">
        <f t="shared" si="2"/>
        <v>#REF!</v>
      </c>
      <c r="T48" t="e">
        <f>IF(R48&lt;&gt;0,Configuración!$E$2,0)</f>
        <v>#REF!</v>
      </c>
      <c r="U48" t="e">
        <f>IF(R48&lt;&gt;0,Configuración!$F$2,0)</f>
        <v>#REF!</v>
      </c>
      <c r="V48" t="e">
        <f>IF(R48&lt;&gt;0,Configuración!$G$2,0)</f>
        <v>#REF!</v>
      </c>
      <c r="W48" t="e">
        <f t="shared" si="3"/>
        <v>#REF!</v>
      </c>
      <c r="X48" t="e">
        <f t="shared" si="4"/>
        <v>#REF!</v>
      </c>
      <c r="Z48" t="e">
        <f t="shared" si="5"/>
        <v>#REF!</v>
      </c>
      <c r="AB48" t="e">
        <f t="shared" si="6"/>
        <v>#REF!</v>
      </c>
      <c r="AG48" t="e">
        <f t="shared" si="7"/>
        <v>#REF!</v>
      </c>
      <c r="AH48" s="5" t="e">
        <f t="shared" si="8"/>
        <v>#REF!</v>
      </c>
      <c r="AI48" t="e">
        <f t="shared" si="9"/>
        <v>#REF!</v>
      </c>
    </row>
    <row r="49" spans="1:37" x14ac:dyDescent="0.55000000000000004">
      <c r="A49" s="3">
        <v>45923</v>
      </c>
      <c r="B49" s="4">
        <v>0.625</v>
      </c>
      <c r="C49" t="s">
        <v>28</v>
      </c>
      <c r="D49" t="e">
        <f>IF(COUNTIF(#REF!,"&lt;&gt;NAN")=0, 0, IF(AND(OR(#REF!=#REF!,#REF!="NAN"), OR(#REF!=#REF!,#REF!="NAN"), OR(#REF!=#REF!,#REF!="NAN")),#REF!, 0))</f>
        <v>#REF!</v>
      </c>
      <c r="E49" t="e">
        <f>IF(#REF!="NAN","",IF(
   AND(OR(#REF!=#REF!,#REF!="NAN"),
     OR(#REF!=#REF!,#REF!="NAN"),
     OR(#REF!=#REF!,#REF!="NAN")),
   1,
   0))</f>
        <v>#REF!</v>
      </c>
      <c r="G49" t="e">
        <f>IF(OR(#REF!="UP",#REF!="DOWN"),1,0)</f>
        <v>#REF!</v>
      </c>
      <c r="H49" t="e">
        <f>IF(OR(#REF!="UP",#REF!="DOWN"),1,0)</f>
        <v>#REF!</v>
      </c>
      <c r="I49" t="e">
        <f>IF(OR(#REF!="UP",#REF!="DOWN"),1,0)</f>
        <v>#REF!</v>
      </c>
      <c r="M49" t="e">
        <f>IF(OR(#REF!="UP",#REF!="DOWN"),1,1)</f>
        <v>#REF!</v>
      </c>
      <c r="N49" t="e">
        <f>IF(OR(#REF!="UP",#REF!="DOWN"),VLOOKUP($C49,Configuración!$H$2:$K$11,3),1)</f>
        <v>#REF!</v>
      </c>
      <c r="O49" t="e">
        <f>IF(OR(#REF!="UP",#REF!="DOWN"),VLOOKUP($C49,Configuración!$H$2:$K$11,4),1)</f>
        <v>#REF!</v>
      </c>
      <c r="P49" t="e">
        <f t="shared" si="0"/>
        <v>#REF!</v>
      </c>
      <c r="Q49" t="e">
        <f t="shared" si="1"/>
        <v>#REF!</v>
      </c>
      <c r="R49" t="e">
        <f t="shared" si="2"/>
        <v>#REF!</v>
      </c>
      <c r="T49" t="e">
        <f>IF(R49&lt;&gt;0,Configuración!$E$2,0)</f>
        <v>#REF!</v>
      </c>
      <c r="U49" t="e">
        <f>IF(R49&lt;&gt;0,Configuración!$F$2,0)</f>
        <v>#REF!</v>
      </c>
      <c r="V49" t="e">
        <f>IF(R49&lt;&gt;0,Configuración!$G$2,0)</f>
        <v>#REF!</v>
      </c>
      <c r="W49" t="e">
        <f t="shared" si="3"/>
        <v>#REF!</v>
      </c>
      <c r="X49" t="e">
        <f t="shared" si="4"/>
        <v>#REF!</v>
      </c>
      <c r="Z49" t="e">
        <f t="shared" si="5"/>
        <v>#REF!</v>
      </c>
      <c r="AB49" t="e">
        <f t="shared" si="6"/>
        <v>#REF!</v>
      </c>
      <c r="AG49" t="e">
        <f t="shared" si="7"/>
        <v>#REF!</v>
      </c>
      <c r="AH49" s="5" t="e">
        <f t="shared" si="8"/>
        <v>#REF!</v>
      </c>
      <c r="AI49" t="e">
        <f t="shared" si="9"/>
        <v>#REF!</v>
      </c>
    </row>
    <row r="50" spans="1:37" x14ac:dyDescent="0.55000000000000004">
      <c r="A50" s="3">
        <v>45923</v>
      </c>
      <c r="B50" s="4">
        <v>0.625</v>
      </c>
      <c r="C50" t="s">
        <v>30</v>
      </c>
      <c r="D50" t="e">
        <f>IF(COUNTIF(#REF!,"&lt;&gt;NAN")=0, 0, IF(AND(OR(#REF!=#REF!,#REF!="NAN"), OR(#REF!=#REF!,#REF!="NAN"), OR(#REF!=#REF!,#REF!="NAN")),#REF!, 0))</f>
        <v>#REF!</v>
      </c>
      <c r="E50" t="e">
        <f>IF(#REF!="NAN","",IF(
   AND(OR(#REF!=#REF!,#REF!="NAN"),
     OR(#REF!=#REF!,#REF!="NAN"),
     OR(#REF!=#REF!,#REF!="NAN")),
   1,
   0))</f>
        <v>#REF!</v>
      </c>
      <c r="G50" t="e">
        <f>IF(OR(#REF!="UP",#REF!="DOWN"),1,0)</f>
        <v>#REF!</v>
      </c>
      <c r="H50" t="e">
        <f>IF(OR(#REF!="UP",#REF!="DOWN"),1,0)</f>
        <v>#REF!</v>
      </c>
      <c r="I50" t="e">
        <f>IF(OR(#REF!="UP",#REF!="DOWN"),1,0)</f>
        <v>#REF!</v>
      </c>
      <c r="M50" t="e">
        <f>IF(OR(#REF!="UP",#REF!="DOWN"),1,1)</f>
        <v>#REF!</v>
      </c>
      <c r="N50" t="e">
        <f>IF(OR(#REF!="UP",#REF!="DOWN"),VLOOKUP($C50,Configuración!$H$2:$K$11,3),1)</f>
        <v>#REF!</v>
      </c>
      <c r="O50" t="e">
        <f>IF(OR(#REF!="UP",#REF!="DOWN"),VLOOKUP($C50,Configuración!$H$2:$K$11,4),1)</f>
        <v>#REF!</v>
      </c>
      <c r="P50" t="e">
        <f t="shared" si="0"/>
        <v>#REF!</v>
      </c>
      <c r="Q50" t="e">
        <f t="shared" si="1"/>
        <v>#REF!</v>
      </c>
      <c r="R50" t="e">
        <f t="shared" si="2"/>
        <v>#REF!</v>
      </c>
      <c r="T50" t="e">
        <f>IF(R50&lt;&gt;0,Configuración!$E$2,0)</f>
        <v>#REF!</v>
      </c>
      <c r="U50" t="e">
        <f>IF(R50&lt;&gt;0,Configuración!$F$2,0)</f>
        <v>#REF!</v>
      </c>
      <c r="V50" t="e">
        <f>IF(R50&lt;&gt;0,Configuración!$G$2,0)</f>
        <v>#REF!</v>
      </c>
      <c r="W50" t="e">
        <f t="shared" si="3"/>
        <v>#REF!</v>
      </c>
      <c r="X50" t="e">
        <f t="shared" si="4"/>
        <v>#REF!</v>
      </c>
      <c r="Z50" t="e">
        <f t="shared" si="5"/>
        <v>#REF!</v>
      </c>
      <c r="AB50" t="e">
        <f t="shared" si="6"/>
        <v>#REF!</v>
      </c>
      <c r="AG50" t="e">
        <f t="shared" si="7"/>
        <v>#REF!</v>
      </c>
      <c r="AH50" s="5" t="e">
        <f t="shared" si="8"/>
        <v>#REF!</v>
      </c>
      <c r="AI50" t="e">
        <f t="shared" si="9"/>
        <v>#REF!</v>
      </c>
    </row>
    <row r="51" spans="1:37" x14ac:dyDescent="0.55000000000000004">
      <c r="A51" s="3">
        <v>45923</v>
      </c>
      <c r="B51" s="4">
        <v>0.625</v>
      </c>
      <c r="C51" t="s">
        <v>29</v>
      </c>
      <c r="D51" t="e">
        <f>IF(COUNTIF(#REF!,"&lt;&gt;NAN")=0, 0, IF(AND(OR(#REF!=#REF!,#REF!="NAN"), OR(#REF!=#REF!,#REF!="NAN"), OR(#REF!=#REF!,#REF!="NAN")),#REF!, 0))</f>
        <v>#REF!</v>
      </c>
      <c r="E51" t="e">
        <f>IF(#REF!="NAN","",IF(
   AND(OR(#REF!=#REF!,#REF!="NAN"),
     OR(#REF!=#REF!,#REF!="NAN"),
     OR(#REF!=#REF!,#REF!="NAN")),
   1,
   0))</f>
        <v>#REF!</v>
      </c>
      <c r="G51" t="e">
        <f>IF(OR(#REF!="UP",#REF!="DOWN"),1,0)</f>
        <v>#REF!</v>
      </c>
      <c r="H51" t="e">
        <f>IF(OR(#REF!="UP",#REF!="DOWN"),1,0)</f>
        <v>#REF!</v>
      </c>
      <c r="I51" t="e">
        <f>IF(OR(#REF!="UP",#REF!="DOWN"),1,0)</f>
        <v>#REF!</v>
      </c>
      <c r="M51" t="e">
        <f>IF(OR(#REF!="UP",#REF!="DOWN"),1,1)</f>
        <v>#REF!</v>
      </c>
      <c r="N51" t="e">
        <f>IF(OR(#REF!="UP",#REF!="DOWN"),VLOOKUP($C51,Configuración!$H$2:$K$11,3),1)</f>
        <v>#REF!</v>
      </c>
      <c r="O51" t="e">
        <f>IF(OR(#REF!="UP",#REF!="DOWN"),VLOOKUP($C51,Configuración!$H$2:$K$11,4),1)</f>
        <v>#REF!</v>
      </c>
      <c r="P51" t="e">
        <f t="shared" si="0"/>
        <v>#REF!</v>
      </c>
      <c r="Q51" t="e">
        <f t="shared" si="1"/>
        <v>#REF!</v>
      </c>
      <c r="R51" t="s">
        <v>38</v>
      </c>
      <c r="S51">
        <v>0.78961000000000003</v>
      </c>
      <c r="T51">
        <f>IF(R51&lt;&gt;0,Configuración!$E$2,0)</f>
        <v>1</v>
      </c>
      <c r="U51">
        <f>IF(R51&lt;&gt;0,Configuración!$F$2,0)</f>
        <v>2</v>
      </c>
      <c r="V51">
        <f>IF(R51&lt;&gt;0,Configuración!$G$2,0)</f>
        <v>5</v>
      </c>
      <c r="W51">
        <f t="shared" si="3"/>
        <v>0.7975061</v>
      </c>
      <c r="X51">
        <f t="shared" si="4"/>
        <v>0.7738178</v>
      </c>
      <c r="Y51">
        <v>0.79288999999999998</v>
      </c>
      <c r="Z51" t="str">
        <f t="shared" si="5"/>
        <v/>
      </c>
      <c r="AB51">
        <f t="shared" si="6"/>
        <v>0.72040000000000004</v>
      </c>
      <c r="AG51">
        <f t="shared" si="7"/>
        <v>1000</v>
      </c>
      <c r="AH51" s="5">
        <f t="shared" si="8"/>
        <v>720.40000000000009</v>
      </c>
      <c r="AI51" t="str">
        <f t="shared" si="9"/>
        <v>MANTENER</v>
      </c>
      <c r="AK51">
        <v>4</v>
      </c>
    </row>
    <row r="52" spans="1:37" x14ac:dyDescent="0.55000000000000004">
      <c r="A52" s="3">
        <v>45923</v>
      </c>
      <c r="B52" s="4">
        <v>0.625</v>
      </c>
      <c r="C52" t="s">
        <v>31</v>
      </c>
      <c r="D52" t="e">
        <f>IF(COUNTIF(#REF!,"&lt;&gt;NAN")=0, 0, IF(AND(OR(#REF!=#REF!,#REF!="NAN"), OR(#REF!=#REF!,#REF!="NAN"), OR(#REF!=#REF!,#REF!="NAN")),#REF!, 0))</f>
        <v>#REF!</v>
      </c>
      <c r="E52" t="e">
        <f>IF(#REF!="NAN","",IF(
   AND(OR(#REF!=#REF!,#REF!="NAN"),
     OR(#REF!=#REF!,#REF!="NAN"),
     OR(#REF!=#REF!,#REF!="NAN")),
   1,
   0))</f>
        <v>#REF!</v>
      </c>
      <c r="G52" t="e">
        <f>IF(OR(#REF!="UP",#REF!="DOWN"),1,0)</f>
        <v>#REF!</v>
      </c>
      <c r="H52" t="e">
        <f>IF(OR(#REF!="UP",#REF!="DOWN"),1,0)</f>
        <v>#REF!</v>
      </c>
      <c r="I52" t="e">
        <f>IF(OR(#REF!="UP",#REF!="DOWN"),1,0)</f>
        <v>#REF!</v>
      </c>
      <c r="M52" t="e">
        <f>IF(OR(#REF!="UP",#REF!="DOWN"),1,1)</f>
        <v>#REF!</v>
      </c>
      <c r="N52" t="e">
        <f>IF(OR(#REF!="UP",#REF!="DOWN"),VLOOKUP($C52,Configuración!$H$2:$K$11,3),1)</f>
        <v>#REF!</v>
      </c>
      <c r="O52" t="e">
        <f>IF(OR(#REF!="UP",#REF!="DOWN"),VLOOKUP($C52,Configuración!$H$2:$K$11,4),1)</f>
        <v>#REF!</v>
      </c>
      <c r="P52" t="e">
        <f t="shared" si="0"/>
        <v>#REF!</v>
      </c>
      <c r="Q52" t="e">
        <f t="shared" si="1"/>
        <v>#REF!</v>
      </c>
      <c r="R52" t="e">
        <f t="shared" si="2"/>
        <v>#REF!</v>
      </c>
      <c r="T52" t="e">
        <f>IF(R52&lt;&gt;0,Configuración!$E$2,0)</f>
        <v>#REF!</v>
      </c>
      <c r="U52" t="e">
        <f>IF(R52&lt;&gt;0,Configuración!$F$2,0)</f>
        <v>#REF!</v>
      </c>
      <c r="V52" t="e">
        <f>IF(R52&lt;&gt;0,Configuración!$G$2,0)</f>
        <v>#REF!</v>
      </c>
      <c r="W52" t="e">
        <f t="shared" si="3"/>
        <v>#REF!</v>
      </c>
      <c r="X52" t="e">
        <f t="shared" si="4"/>
        <v>#REF!</v>
      </c>
      <c r="Z52" t="e">
        <f t="shared" si="5"/>
        <v>#REF!</v>
      </c>
      <c r="AB52" t="e">
        <f t="shared" si="6"/>
        <v>#REF!</v>
      </c>
      <c r="AG52" t="e">
        <f t="shared" si="7"/>
        <v>#REF!</v>
      </c>
      <c r="AH52" s="5" t="e">
        <f t="shared" si="8"/>
        <v>#REF!</v>
      </c>
      <c r="AI52" t="e">
        <f t="shared" si="9"/>
        <v>#REF!</v>
      </c>
    </row>
    <row r="53" spans="1:37" x14ac:dyDescent="0.55000000000000004">
      <c r="A53" s="3">
        <v>45924</v>
      </c>
      <c r="B53" s="4">
        <v>0.625</v>
      </c>
      <c r="C53" t="s">
        <v>32</v>
      </c>
      <c r="D53" t="e">
        <f>IF(COUNTIF(#REF!,"&lt;&gt;NAN")=0, 0, IF(AND(OR(#REF!=#REF!,#REF!="NAN"), OR(#REF!=#REF!,#REF!="NAN"), OR(#REF!=#REF!,#REF!="NAN")),#REF!, 0))</f>
        <v>#REF!</v>
      </c>
      <c r="E53" t="e">
        <f>IF(#REF!="NAN","",IF(
   AND(OR(#REF!=#REF!,#REF!="NAN"),
     OR(#REF!=#REF!,#REF!="NAN"),
     OR(#REF!=#REF!,#REF!="NAN")),
   1,
   0))</f>
        <v>#REF!</v>
      </c>
      <c r="G53" t="e">
        <f>IF(OR(#REF!="UP",#REF!="DOWN"),1,0)</f>
        <v>#REF!</v>
      </c>
      <c r="H53" t="e">
        <f>IF(OR(#REF!="UP",#REF!="DOWN"),1,0)</f>
        <v>#REF!</v>
      </c>
      <c r="I53" t="e">
        <f>IF(OR(#REF!="UP",#REF!="DOWN"),1,0)</f>
        <v>#REF!</v>
      </c>
      <c r="M53" t="e">
        <f>IF(OR(#REF!="UP",#REF!="DOWN"),1,1)</f>
        <v>#REF!</v>
      </c>
      <c r="N53" t="e">
        <f>IF(OR(#REF!="UP",#REF!="DOWN"),VLOOKUP($C53,Configuración!$H$2:$K$11,3),1)</f>
        <v>#REF!</v>
      </c>
      <c r="O53" t="e">
        <f>IF(OR(#REF!="UP",#REF!="DOWN"),VLOOKUP($C53,Configuración!$H$2:$K$11,4),1)</f>
        <v>#REF!</v>
      </c>
      <c r="P53" t="e">
        <f t="shared" si="0"/>
        <v>#REF!</v>
      </c>
      <c r="Q53" t="e">
        <f t="shared" si="1"/>
        <v>#REF!</v>
      </c>
      <c r="R53" t="e">
        <f t="shared" si="2"/>
        <v>#REF!</v>
      </c>
      <c r="T53" t="e">
        <f>IF(R53&lt;&gt;0,Configuración!$E$2,0)</f>
        <v>#REF!</v>
      </c>
      <c r="U53" t="e">
        <f>IF(R53&lt;&gt;0,Configuración!$F$2,0)</f>
        <v>#REF!</v>
      </c>
      <c r="V53" t="e">
        <f>IF(R53&lt;&gt;0,Configuración!$G$2,0)</f>
        <v>#REF!</v>
      </c>
      <c r="W53" t="e">
        <f t="shared" si="3"/>
        <v>#REF!</v>
      </c>
      <c r="X53" t="e">
        <f t="shared" si="4"/>
        <v>#REF!</v>
      </c>
      <c r="Z53" t="e">
        <f t="shared" si="5"/>
        <v>#REF!</v>
      </c>
      <c r="AB53" t="e">
        <f t="shared" si="6"/>
        <v>#REF!</v>
      </c>
      <c r="AG53" t="e">
        <f t="shared" si="7"/>
        <v>#REF!</v>
      </c>
      <c r="AH53" s="5" t="e">
        <f t="shared" si="8"/>
        <v>#REF!</v>
      </c>
      <c r="AI53" t="e">
        <f t="shared" si="9"/>
        <v>#REF!</v>
      </c>
    </row>
    <row r="54" spans="1:37" x14ac:dyDescent="0.55000000000000004">
      <c r="A54" s="3">
        <v>45924</v>
      </c>
      <c r="B54" s="4">
        <v>0.625</v>
      </c>
      <c r="C54" t="s">
        <v>26</v>
      </c>
      <c r="D54" t="e">
        <f>IF(COUNTIF(#REF!,"&lt;&gt;NAN")=0, 0, IF(AND(OR(#REF!=#REF!,#REF!="NAN"), OR(#REF!=#REF!,#REF!="NAN"), OR(#REF!=#REF!,#REF!="NAN")),#REF!, 0))</f>
        <v>#REF!</v>
      </c>
      <c r="E54" t="e">
        <f>IF(#REF!="NAN","",IF(
   AND(OR(#REF!=#REF!,#REF!="NAN"),
     OR(#REF!=#REF!,#REF!="NAN"),
     OR(#REF!=#REF!,#REF!="NAN")),
   1,
   0))</f>
        <v>#REF!</v>
      </c>
      <c r="G54" t="e">
        <f>IF(OR(#REF!="UP",#REF!="DOWN"),1,0)</f>
        <v>#REF!</v>
      </c>
      <c r="H54" t="e">
        <f>IF(OR(#REF!="UP",#REF!="DOWN"),1,0)</f>
        <v>#REF!</v>
      </c>
      <c r="I54" t="e">
        <f>IF(OR(#REF!="UP",#REF!="DOWN"),1,0)</f>
        <v>#REF!</v>
      </c>
      <c r="M54" t="e">
        <f>IF(OR(#REF!="UP",#REF!="DOWN"),1,1)</f>
        <v>#REF!</v>
      </c>
      <c r="N54" t="e">
        <f>IF(OR(#REF!="UP",#REF!="DOWN"),VLOOKUP($C54,Configuración!$H$2:$K$11,3),1)</f>
        <v>#REF!</v>
      </c>
      <c r="O54" t="e">
        <f>IF(OR(#REF!="UP",#REF!="DOWN"),VLOOKUP($C54,Configuración!$H$2:$K$11,4),1)</f>
        <v>#REF!</v>
      </c>
      <c r="P54" t="e">
        <f t="shared" si="0"/>
        <v>#REF!</v>
      </c>
      <c r="Q54" t="e">
        <f t="shared" si="1"/>
        <v>#REF!</v>
      </c>
      <c r="R54" t="e">
        <f t="shared" si="2"/>
        <v>#REF!</v>
      </c>
      <c r="T54" t="e">
        <f>IF(R54&lt;&gt;0,Configuración!$E$2,0)</f>
        <v>#REF!</v>
      </c>
      <c r="U54" t="e">
        <f>IF(R54&lt;&gt;0,Configuración!$F$2,0)</f>
        <v>#REF!</v>
      </c>
      <c r="V54" t="e">
        <f>IF(R54&lt;&gt;0,Configuración!$G$2,0)</f>
        <v>#REF!</v>
      </c>
      <c r="W54" t="e">
        <f t="shared" si="3"/>
        <v>#REF!</v>
      </c>
      <c r="X54" t="e">
        <f t="shared" si="4"/>
        <v>#REF!</v>
      </c>
      <c r="Z54" t="e">
        <f t="shared" si="5"/>
        <v>#REF!</v>
      </c>
      <c r="AB54" t="e">
        <f t="shared" si="6"/>
        <v>#REF!</v>
      </c>
      <c r="AG54" t="e">
        <f t="shared" si="7"/>
        <v>#REF!</v>
      </c>
      <c r="AH54" s="5" t="e">
        <f t="shared" si="8"/>
        <v>#REF!</v>
      </c>
      <c r="AI54" t="e">
        <f t="shared" si="9"/>
        <v>#REF!</v>
      </c>
    </row>
    <row r="55" spans="1:37" x14ac:dyDescent="0.55000000000000004">
      <c r="A55" s="3">
        <v>45924</v>
      </c>
      <c r="B55" s="4">
        <v>0.625</v>
      </c>
      <c r="C55" t="s">
        <v>33</v>
      </c>
      <c r="D55" t="e">
        <f>IF(COUNTIF(#REF!,"&lt;&gt;NAN")=0, 0, IF(AND(OR(#REF!=#REF!,#REF!="NAN"), OR(#REF!=#REF!,#REF!="NAN"), OR(#REF!=#REF!,#REF!="NAN")),#REF!, 0))</f>
        <v>#REF!</v>
      </c>
      <c r="E55" t="e">
        <f>IF(#REF!="NAN","",IF(
   AND(OR(#REF!=#REF!,#REF!="NAN"),
     OR(#REF!=#REF!,#REF!="NAN"),
     OR(#REF!=#REF!,#REF!="NAN")),
   1,
   0))</f>
        <v>#REF!</v>
      </c>
      <c r="G55" t="e">
        <f>IF(OR(#REF!="UP",#REF!="DOWN"),1,0)</f>
        <v>#REF!</v>
      </c>
      <c r="H55" t="e">
        <f>IF(OR(#REF!="UP",#REF!="DOWN"),1,0)</f>
        <v>#REF!</v>
      </c>
      <c r="I55" t="e">
        <f>IF(OR(#REF!="UP",#REF!="DOWN"),1,0)</f>
        <v>#REF!</v>
      </c>
      <c r="M55" t="e">
        <f>IF(OR(#REF!="UP",#REF!="DOWN"),1,1)</f>
        <v>#REF!</v>
      </c>
      <c r="N55" t="e">
        <f>IF(OR(#REF!="UP",#REF!="DOWN"),VLOOKUP($C55,Configuración!$H$2:$K$11,3),1)</f>
        <v>#REF!</v>
      </c>
      <c r="O55" t="e">
        <f>IF(OR(#REF!="UP",#REF!="DOWN"),VLOOKUP($C55,Configuración!$H$2:$K$11,4),1)</f>
        <v>#REF!</v>
      </c>
      <c r="P55" t="e">
        <f t="shared" si="0"/>
        <v>#REF!</v>
      </c>
      <c r="Q55" t="e">
        <f t="shared" si="1"/>
        <v>#REF!</v>
      </c>
      <c r="R55" t="e">
        <f t="shared" si="2"/>
        <v>#REF!</v>
      </c>
      <c r="T55" t="e">
        <f>IF(R55&lt;&gt;0,Configuración!$E$2,0)</f>
        <v>#REF!</v>
      </c>
      <c r="U55" t="e">
        <f>IF(R55&lt;&gt;0,Configuración!$F$2,0)</f>
        <v>#REF!</v>
      </c>
      <c r="V55" t="e">
        <f>IF(R55&lt;&gt;0,Configuración!$G$2,0)</f>
        <v>#REF!</v>
      </c>
      <c r="W55" t="e">
        <f t="shared" si="3"/>
        <v>#REF!</v>
      </c>
      <c r="X55" t="e">
        <f t="shared" si="4"/>
        <v>#REF!</v>
      </c>
      <c r="Z55" t="e">
        <f t="shared" si="5"/>
        <v>#REF!</v>
      </c>
      <c r="AB55" t="e">
        <f t="shared" si="6"/>
        <v>#REF!</v>
      </c>
      <c r="AG55" t="e">
        <f t="shared" si="7"/>
        <v>#REF!</v>
      </c>
      <c r="AH55" s="5" t="e">
        <f t="shared" si="8"/>
        <v>#REF!</v>
      </c>
      <c r="AI55" t="e">
        <f t="shared" si="9"/>
        <v>#REF!</v>
      </c>
    </row>
    <row r="56" spans="1:37" x14ac:dyDescent="0.55000000000000004">
      <c r="A56" s="3">
        <v>45924</v>
      </c>
      <c r="B56" s="4">
        <v>0.625</v>
      </c>
      <c r="C56" t="s">
        <v>35</v>
      </c>
      <c r="D56" t="e">
        <f>IF(COUNTIF(#REF!,"&lt;&gt;NAN")=0, 0, IF(AND(OR(#REF!=#REF!,#REF!="NAN"), OR(#REF!=#REF!,#REF!="NAN"), OR(#REF!=#REF!,#REF!="NAN")),#REF!, 0))</f>
        <v>#REF!</v>
      </c>
      <c r="E56" t="e">
        <f>IF(#REF!="NAN","",IF(
   AND(OR(#REF!=#REF!,#REF!="NAN"),
     OR(#REF!=#REF!,#REF!="NAN"),
     OR(#REF!=#REF!,#REF!="NAN")),
   1,
   0))</f>
        <v>#REF!</v>
      </c>
      <c r="G56" t="e">
        <f>IF(OR(#REF!="UP",#REF!="DOWN"),1,0)</f>
        <v>#REF!</v>
      </c>
      <c r="H56" t="e">
        <f>IF(OR(#REF!="UP",#REF!="DOWN"),1,0)</f>
        <v>#REF!</v>
      </c>
      <c r="I56" t="e">
        <f>IF(OR(#REF!="UP",#REF!="DOWN"),1,0)</f>
        <v>#REF!</v>
      </c>
      <c r="M56" t="e">
        <f>IF(OR(#REF!="UP",#REF!="DOWN"),1,1)</f>
        <v>#REF!</v>
      </c>
      <c r="N56" t="e">
        <f>IF(OR(#REF!="UP",#REF!="DOWN"),VLOOKUP($C56,Configuración!$H$2:$K$11,3),1)</f>
        <v>#REF!</v>
      </c>
      <c r="O56" t="e">
        <f>IF(OR(#REF!="UP",#REF!="DOWN"),VLOOKUP($C56,Configuración!$H$2:$K$11,4),1)</f>
        <v>#REF!</v>
      </c>
      <c r="P56" t="e">
        <f t="shared" si="0"/>
        <v>#REF!</v>
      </c>
      <c r="Q56" t="e">
        <f t="shared" si="1"/>
        <v>#REF!</v>
      </c>
      <c r="R56" t="e">
        <f t="shared" si="2"/>
        <v>#REF!</v>
      </c>
      <c r="T56" t="e">
        <f>IF(R56&lt;&gt;0,Configuración!$E$2,0)</f>
        <v>#REF!</v>
      </c>
      <c r="U56" t="e">
        <f>IF(R56&lt;&gt;0,Configuración!$F$2,0)</f>
        <v>#REF!</v>
      </c>
      <c r="V56" t="e">
        <f>IF(R56&lt;&gt;0,Configuración!$G$2,0)</f>
        <v>#REF!</v>
      </c>
      <c r="W56" t="e">
        <f t="shared" si="3"/>
        <v>#REF!</v>
      </c>
      <c r="X56" t="e">
        <f t="shared" si="4"/>
        <v>#REF!</v>
      </c>
      <c r="Z56" t="e">
        <f t="shared" si="5"/>
        <v>#REF!</v>
      </c>
      <c r="AB56" t="e">
        <f t="shared" si="6"/>
        <v>#REF!</v>
      </c>
      <c r="AG56" t="e">
        <f t="shared" si="7"/>
        <v>#REF!</v>
      </c>
      <c r="AH56" s="5" t="e">
        <f t="shared" si="8"/>
        <v>#REF!</v>
      </c>
      <c r="AI56" t="e">
        <f t="shared" si="9"/>
        <v>#REF!</v>
      </c>
    </row>
    <row r="57" spans="1:37" x14ac:dyDescent="0.55000000000000004">
      <c r="A57" s="3">
        <v>45924</v>
      </c>
      <c r="B57" s="4">
        <v>0.625</v>
      </c>
      <c r="C57" t="s">
        <v>34</v>
      </c>
      <c r="D57" t="e">
        <f>IF(COUNTIF(#REF!,"&lt;&gt;NAN")=0, 0, IF(AND(OR(#REF!=#REF!,#REF!="NAN"), OR(#REF!=#REF!,#REF!="NAN"), OR(#REF!=#REF!,#REF!="NAN")),#REF!, 0))</f>
        <v>#REF!</v>
      </c>
      <c r="E57" t="e">
        <f>IF(#REF!="NAN","",IF(
   AND(OR(#REF!=#REF!,#REF!="NAN"),
     OR(#REF!=#REF!,#REF!="NAN"),
     OR(#REF!=#REF!,#REF!="NAN")),
   1,
   0))</f>
        <v>#REF!</v>
      </c>
      <c r="G57" t="e">
        <f>IF(OR(#REF!="UP",#REF!="DOWN"),1,0)</f>
        <v>#REF!</v>
      </c>
      <c r="H57" t="e">
        <f>IF(OR(#REF!="UP",#REF!="DOWN"),1,0)</f>
        <v>#REF!</v>
      </c>
      <c r="I57" t="e">
        <f>IF(OR(#REF!="UP",#REF!="DOWN"),1,0)</f>
        <v>#REF!</v>
      </c>
      <c r="M57" t="e">
        <f>IF(OR(#REF!="UP",#REF!="DOWN"),1,1)</f>
        <v>#REF!</v>
      </c>
      <c r="N57" t="e">
        <f>IF(OR(#REF!="UP",#REF!="DOWN"),VLOOKUP($C57,Configuración!$H$2:$K$11,3),1)</f>
        <v>#REF!</v>
      </c>
      <c r="O57" t="e">
        <f>IF(OR(#REF!="UP",#REF!="DOWN"),VLOOKUP($C57,Configuración!$H$2:$K$11,4),1)</f>
        <v>#REF!</v>
      </c>
      <c r="P57" t="e">
        <f t="shared" si="0"/>
        <v>#REF!</v>
      </c>
      <c r="Q57" t="e">
        <f t="shared" si="1"/>
        <v>#REF!</v>
      </c>
      <c r="R57" t="e">
        <f t="shared" si="2"/>
        <v>#REF!</v>
      </c>
      <c r="T57" t="e">
        <f>IF(R57&lt;&gt;0,Configuración!$E$2,0)</f>
        <v>#REF!</v>
      </c>
      <c r="U57" t="e">
        <f>IF(R57&lt;&gt;0,Configuración!$F$2,0)</f>
        <v>#REF!</v>
      </c>
      <c r="V57" t="e">
        <f>IF(R57&lt;&gt;0,Configuración!$G$2,0)</f>
        <v>#REF!</v>
      </c>
      <c r="W57" t="e">
        <f t="shared" si="3"/>
        <v>#REF!</v>
      </c>
      <c r="X57" t="e">
        <f t="shared" si="4"/>
        <v>#REF!</v>
      </c>
      <c r="Z57" t="e">
        <f t="shared" si="5"/>
        <v>#REF!</v>
      </c>
      <c r="AB57" t="e">
        <f t="shared" si="6"/>
        <v>#REF!</v>
      </c>
      <c r="AG57" t="e">
        <f t="shared" si="7"/>
        <v>#REF!</v>
      </c>
      <c r="AH57" s="5" t="e">
        <f t="shared" si="8"/>
        <v>#REF!</v>
      </c>
      <c r="AI57" t="e">
        <f t="shared" si="9"/>
        <v>#REF!</v>
      </c>
    </row>
    <row r="58" spans="1:37" x14ac:dyDescent="0.55000000000000004">
      <c r="A58" s="3">
        <v>45924</v>
      </c>
      <c r="B58" s="4">
        <v>0.625</v>
      </c>
      <c r="C58" t="s">
        <v>27</v>
      </c>
      <c r="D58" t="e">
        <f>IF(COUNTIF(#REF!,"&lt;&gt;NAN")=0, 0, IF(AND(OR(#REF!=#REF!,#REF!="NAN"), OR(#REF!=#REF!,#REF!="NAN"), OR(#REF!=#REF!,#REF!="NAN")),#REF!, 0))</f>
        <v>#REF!</v>
      </c>
      <c r="E58" t="e">
        <f>IF(#REF!="NAN","",IF(
   AND(OR(#REF!=#REF!,#REF!="NAN"),
     OR(#REF!=#REF!,#REF!="NAN"),
     OR(#REF!=#REF!,#REF!="NAN")),
   1,
   0))</f>
        <v>#REF!</v>
      </c>
      <c r="G58" t="e">
        <f>IF(OR(#REF!="UP",#REF!="DOWN"),1,0)</f>
        <v>#REF!</v>
      </c>
      <c r="H58" t="e">
        <f>IF(OR(#REF!="UP",#REF!="DOWN"),1,0)</f>
        <v>#REF!</v>
      </c>
      <c r="I58" t="e">
        <f>IF(OR(#REF!="UP",#REF!="DOWN"),1,0)</f>
        <v>#REF!</v>
      </c>
      <c r="M58" t="e">
        <f>IF(OR(#REF!="UP",#REF!="DOWN"),1,1)</f>
        <v>#REF!</v>
      </c>
      <c r="N58" t="e">
        <f>IF(OR(#REF!="UP",#REF!="DOWN"),VLOOKUP($C58,Configuración!$H$2:$K$11,3),1)</f>
        <v>#REF!</v>
      </c>
      <c r="O58" t="e">
        <f>IF(OR(#REF!="UP",#REF!="DOWN"),VLOOKUP($C58,Configuración!$H$2:$K$11,4),1)</f>
        <v>#REF!</v>
      </c>
      <c r="P58" t="e">
        <f t="shared" si="0"/>
        <v>#REF!</v>
      </c>
      <c r="Q58" t="e">
        <f t="shared" si="1"/>
        <v>#REF!</v>
      </c>
      <c r="R58" t="e">
        <f t="shared" si="2"/>
        <v>#REF!</v>
      </c>
      <c r="T58" t="e">
        <f>IF(R58&lt;&gt;0,Configuración!$E$2,0)</f>
        <v>#REF!</v>
      </c>
      <c r="U58" t="e">
        <f>IF(R58&lt;&gt;0,Configuración!$F$2,0)</f>
        <v>#REF!</v>
      </c>
      <c r="V58" t="e">
        <f>IF(R58&lt;&gt;0,Configuración!$G$2,0)</f>
        <v>#REF!</v>
      </c>
      <c r="W58" t="e">
        <f t="shared" si="3"/>
        <v>#REF!</v>
      </c>
      <c r="X58" t="e">
        <f t="shared" si="4"/>
        <v>#REF!</v>
      </c>
      <c r="Z58" t="e">
        <f t="shared" si="5"/>
        <v>#REF!</v>
      </c>
      <c r="AB58" t="e">
        <f t="shared" si="6"/>
        <v>#REF!</v>
      </c>
      <c r="AG58" t="e">
        <f t="shared" si="7"/>
        <v>#REF!</v>
      </c>
      <c r="AH58" s="5" t="e">
        <f t="shared" si="8"/>
        <v>#REF!</v>
      </c>
      <c r="AI58" t="e">
        <f t="shared" si="9"/>
        <v>#REF!</v>
      </c>
    </row>
    <row r="59" spans="1:37" x14ac:dyDescent="0.55000000000000004">
      <c r="A59" s="3">
        <v>45924</v>
      </c>
      <c r="B59" s="4">
        <v>0.625</v>
      </c>
      <c r="C59" t="s">
        <v>30</v>
      </c>
      <c r="D59" t="e">
        <f>IF(COUNTIF(#REF!,"&lt;&gt;NAN")=0, 0, IF(AND(OR(#REF!=#REF!,#REF!="NAN"), OR(#REF!=#REF!,#REF!="NAN"), OR(#REF!=#REF!,#REF!="NAN")),#REF!, 0))</f>
        <v>#REF!</v>
      </c>
      <c r="E59" t="e">
        <f>IF(#REF!="NAN","",IF(
   AND(OR(#REF!=#REF!,#REF!="NAN"),
     OR(#REF!=#REF!,#REF!="NAN"),
     OR(#REF!=#REF!,#REF!="NAN")),
   1,
   0))</f>
        <v>#REF!</v>
      </c>
      <c r="G59" t="e">
        <f>IF(OR(#REF!="UP",#REF!="DOWN"),1,0)</f>
        <v>#REF!</v>
      </c>
      <c r="H59" t="e">
        <f>IF(OR(#REF!="UP",#REF!="DOWN"),1,0)</f>
        <v>#REF!</v>
      </c>
      <c r="I59" t="e">
        <f>IF(OR(#REF!="UP",#REF!="DOWN"),1,0)</f>
        <v>#REF!</v>
      </c>
      <c r="M59" t="e">
        <f>IF(OR(#REF!="UP",#REF!="DOWN"),1,1)</f>
        <v>#REF!</v>
      </c>
      <c r="N59" t="e">
        <f>IF(OR(#REF!="UP",#REF!="DOWN"),VLOOKUP($C59,Configuración!$H$2:$K$11,3),1)</f>
        <v>#REF!</v>
      </c>
      <c r="O59" t="e">
        <f>IF(OR(#REF!="UP",#REF!="DOWN"),VLOOKUP($C59,Configuración!$H$2:$K$11,4),1)</f>
        <v>#REF!</v>
      </c>
      <c r="P59" t="e">
        <f t="shared" si="0"/>
        <v>#REF!</v>
      </c>
      <c r="Q59" t="e">
        <f t="shared" si="1"/>
        <v>#REF!</v>
      </c>
      <c r="R59" t="e">
        <f t="shared" si="2"/>
        <v>#REF!</v>
      </c>
      <c r="T59" t="e">
        <f>IF(R59&lt;&gt;0,Configuración!$E$2,0)</f>
        <v>#REF!</v>
      </c>
      <c r="U59" t="e">
        <f>IF(R59&lt;&gt;0,Configuración!$F$2,0)</f>
        <v>#REF!</v>
      </c>
      <c r="V59" t="e">
        <f>IF(R59&lt;&gt;0,Configuración!$G$2,0)</f>
        <v>#REF!</v>
      </c>
      <c r="W59" t="e">
        <f t="shared" si="3"/>
        <v>#REF!</v>
      </c>
      <c r="X59" t="e">
        <f t="shared" si="4"/>
        <v>#REF!</v>
      </c>
      <c r="Z59" t="e">
        <f t="shared" si="5"/>
        <v>#REF!</v>
      </c>
      <c r="AB59" t="e">
        <f t="shared" si="6"/>
        <v>#REF!</v>
      </c>
      <c r="AG59" t="e">
        <f t="shared" si="7"/>
        <v>#REF!</v>
      </c>
      <c r="AH59" s="5" t="e">
        <f t="shared" si="8"/>
        <v>#REF!</v>
      </c>
      <c r="AI59" t="e">
        <f t="shared" si="9"/>
        <v>#REF!</v>
      </c>
    </row>
    <row r="60" spans="1:37" x14ac:dyDescent="0.55000000000000004">
      <c r="A60" s="3">
        <v>45924</v>
      </c>
      <c r="B60" s="4">
        <v>0.625</v>
      </c>
      <c r="C60" t="s">
        <v>28</v>
      </c>
      <c r="D60" t="e">
        <f>IF(COUNTIF(#REF!,"&lt;&gt;NAN")=0, 0, IF(AND(OR(#REF!=#REF!,#REF!="NAN"), OR(#REF!=#REF!,#REF!="NAN"), OR(#REF!=#REF!,#REF!="NAN")),#REF!, 0))</f>
        <v>#REF!</v>
      </c>
      <c r="E60" t="e">
        <f>IF(#REF!="NAN","",IF(
   AND(OR(#REF!=#REF!,#REF!="NAN"),
     OR(#REF!=#REF!,#REF!="NAN"),
     OR(#REF!=#REF!,#REF!="NAN")),
   1,
   0))</f>
        <v>#REF!</v>
      </c>
      <c r="G60" t="e">
        <f>IF(OR(#REF!="UP",#REF!="DOWN"),1,0)</f>
        <v>#REF!</v>
      </c>
      <c r="H60" t="e">
        <f>IF(OR(#REF!="UP",#REF!="DOWN"),1,0)</f>
        <v>#REF!</v>
      </c>
      <c r="I60" t="e">
        <f>IF(OR(#REF!="UP",#REF!="DOWN"),1,0)</f>
        <v>#REF!</v>
      </c>
      <c r="M60" t="e">
        <f>IF(OR(#REF!="UP",#REF!="DOWN"),1,1)</f>
        <v>#REF!</v>
      </c>
      <c r="N60" t="e">
        <f>IF(OR(#REF!="UP",#REF!="DOWN"),VLOOKUP($C60,Configuración!$H$2:$K$11,3),1)</f>
        <v>#REF!</v>
      </c>
      <c r="O60" t="e">
        <f>IF(OR(#REF!="UP",#REF!="DOWN"),VLOOKUP($C60,Configuración!$H$2:$K$11,4),1)</f>
        <v>#REF!</v>
      </c>
      <c r="P60" t="e">
        <f t="shared" si="0"/>
        <v>#REF!</v>
      </c>
      <c r="Q60" t="e">
        <f t="shared" si="1"/>
        <v>#REF!</v>
      </c>
      <c r="R60" t="e">
        <f t="shared" si="2"/>
        <v>#REF!</v>
      </c>
      <c r="T60" t="e">
        <f>IF(R60&lt;&gt;0,Configuración!$E$2,0)</f>
        <v>#REF!</v>
      </c>
      <c r="U60" t="e">
        <f>IF(R60&lt;&gt;0,Configuración!$F$2,0)</f>
        <v>#REF!</v>
      </c>
      <c r="V60" t="e">
        <f>IF(R60&lt;&gt;0,Configuración!$G$2,0)</f>
        <v>#REF!</v>
      </c>
      <c r="W60" t="e">
        <f t="shared" si="3"/>
        <v>#REF!</v>
      </c>
      <c r="X60" t="e">
        <f t="shared" si="4"/>
        <v>#REF!</v>
      </c>
      <c r="Z60" t="e">
        <f t="shared" si="5"/>
        <v>#REF!</v>
      </c>
      <c r="AB60" t="e">
        <f t="shared" si="6"/>
        <v>#REF!</v>
      </c>
      <c r="AG60" t="e">
        <f t="shared" si="7"/>
        <v>#REF!</v>
      </c>
      <c r="AH60" s="5" t="e">
        <f t="shared" si="8"/>
        <v>#REF!</v>
      </c>
      <c r="AI60" t="e">
        <f t="shared" si="9"/>
        <v>#REF!</v>
      </c>
    </row>
    <row r="61" spans="1:37" x14ac:dyDescent="0.55000000000000004">
      <c r="A61" s="3">
        <v>45924</v>
      </c>
      <c r="B61" s="4">
        <v>0.625</v>
      </c>
      <c r="C61" t="s">
        <v>30</v>
      </c>
      <c r="D61" t="e">
        <f>IF(COUNTIF(#REF!,"&lt;&gt;NAN")=0, 0, IF(AND(OR(#REF!=#REF!,#REF!="NAN"), OR(#REF!=#REF!,#REF!="NAN"), OR(#REF!=#REF!,#REF!="NAN")),#REF!, 0))</f>
        <v>#REF!</v>
      </c>
      <c r="E61" t="e">
        <f>IF(#REF!="NAN","",IF(
   AND(OR(#REF!=#REF!,#REF!="NAN"),
     OR(#REF!=#REF!,#REF!="NAN"),
     OR(#REF!=#REF!,#REF!="NAN")),
   1,
   0))</f>
        <v>#REF!</v>
      </c>
      <c r="G61" t="e">
        <f>IF(OR(#REF!="UP",#REF!="DOWN"),1,0)</f>
        <v>#REF!</v>
      </c>
      <c r="H61" t="e">
        <f>IF(OR(#REF!="UP",#REF!="DOWN"),1,0)</f>
        <v>#REF!</v>
      </c>
      <c r="I61" t="e">
        <f>IF(OR(#REF!="UP",#REF!="DOWN"),1,0)</f>
        <v>#REF!</v>
      </c>
      <c r="M61" t="e">
        <f>IF(OR(#REF!="UP",#REF!="DOWN"),1,1)</f>
        <v>#REF!</v>
      </c>
      <c r="N61" t="e">
        <f>IF(OR(#REF!="UP",#REF!="DOWN"),VLOOKUP($C61,Configuración!$H$2:$K$11,3),1)</f>
        <v>#REF!</v>
      </c>
      <c r="O61" t="e">
        <f>IF(OR(#REF!="UP",#REF!="DOWN"),VLOOKUP($C61,Configuración!$H$2:$K$11,4),1)</f>
        <v>#REF!</v>
      </c>
      <c r="P61" t="e">
        <f t="shared" si="0"/>
        <v>#REF!</v>
      </c>
      <c r="Q61" t="e">
        <f t="shared" si="1"/>
        <v>#REF!</v>
      </c>
      <c r="R61" t="e">
        <f t="shared" si="2"/>
        <v>#REF!</v>
      </c>
      <c r="T61" t="e">
        <f>IF(R61&lt;&gt;0,Configuración!$E$2,0)</f>
        <v>#REF!</v>
      </c>
      <c r="U61" t="e">
        <f>IF(R61&lt;&gt;0,Configuración!$F$2,0)</f>
        <v>#REF!</v>
      </c>
      <c r="V61" t="e">
        <f>IF(R61&lt;&gt;0,Configuración!$G$2,0)</f>
        <v>#REF!</v>
      </c>
      <c r="W61" t="e">
        <f t="shared" si="3"/>
        <v>#REF!</v>
      </c>
      <c r="X61" t="e">
        <f t="shared" si="4"/>
        <v>#REF!</v>
      </c>
      <c r="Z61" t="e">
        <f t="shared" si="5"/>
        <v>#REF!</v>
      </c>
      <c r="AB61" t="e">
        <f t="shared" si="6"/>
        <v>#REF!</v>
      </c>
      <c r="AG61" t="e">
        <f t="shared" si="7"/>
        <v>#REF!</v>
      </c>
      <c r="AH61" s="5" t="e">
        <f t="shared" si="8"/>
        <v>#REF!</v>
      </c>
      <c r="AI61" t="e">
        <f t="shared" si="9"/>
        <v>#REF!</v>
      </c>
    </row>
    <row r="62" spans="1:37" x14ac:dyDescent="0.55000000000000004">
      <c r="A62" s="3">
        <v>45924</v>
      </c>
      <c r="B62" s="4">
        <v>0.625</v>
      </c>
      <c r="C62" t="s">
        <v>29</v>
      </c>
      <c r="D62" t="e">
        <f>IF(COUNTIF(#REF!,"&lt;&gt;NAN")=0, 0, IF(AND(OR(#REF!=#REF!,#REF!="NAN"), OR(#REF!=#REF!,#REF!="NAN"), OR(#REF!=#REF!,#REF!="NAN")),#REF!, 0))</f>
        <v>#REF!</v>
      </c>
      <c r="E62" t="e">
        <f>IF(#REF!="NAN","",IF(
   AND(OR(#REF!=#REF!,#REF!="NAN"),
     OR(#REF!=#REF!,#REF!="NAN"),
     OR(#REF!=#REF!,#REF!="NAN")),
   1,
   0))</f>
        <v>#REF!</v>
      </c>
      <c r="G62" t="e">
        <f>IF(OR(#REF!="UP",#REF!="DOWN"),1,0)</f>
        <v>#REF!</v>
      </c>
      <c r="H62" t="e">
        <f>IF(OR(#REF!="UP",#REF!="DOWN"),1,0)</f>
        <v>#REF!</v>
      </c>
      <c r="I62" t="e">
        <f>IF(OR(#REF!="UP",#REF!="DOWN"),1,0)</f>
        <v>#REF!</v>
      </c>
      <c r="M62" t="e">
        <f>IF(OR(#REF!="UP",#REF!="DOWN"),1,1)</f>
        <v>#REF!</v>
      </c>
      <c r="N62" t="e">
        <f>IF(OR(#REF!="UP",#REF!="DOWN"),VLOOKUP($C62,Configuración!$H$2:$K$11,3),1)</f>
        <v>#REF!</v>
      </c>
      <c r="O62" t="e">
        <f>IF(OR(#REF!="UP",#REF!="DOWN"),VLOOKUP($C62,Configuración!$H$2:$K$11,4),1)</f>
        <v>#REF!</v>
      </c>
      <c r="P62" t="e">
        <f t="shared" si="0"/>
        <v>#REF!</v>
      </c>
      <c r="Q62" t="e">
        <f t="shared" si="1"/>
        <v>#REF!</v>
      </c>
      <c r="R62" t="s">
        <v>38</v>
      </c>
      <c r="S62">
        <v>0.78951000000000005</v>
      </c>
      <c r="T62">
        <f>IF(R62&lt;&gt;0,Configuración!$E$2,0)</f>
        <v>1</v>
      </c>
      <c r="U62">
        <f>IF(R62&lt;&gt;0,Configuración!$F$2,0)</f>
        <v>2</v>
      </c>
      <c r="V62">
        <f>IF(R62&lt;&gt;0,Configuración!$G$2,0)</f>
        <v>5</v>
      </c>
      <c r="W62">
        <f t="shared" si="3"/>
        <v>0.79740510000000009</v>
      </c>
      <c r="X62">
        <f t="shared" si="4"/>
        <v>0.77371980000000007</v>
      </c>
      <c r="Y62">
        <v>0.79396999999999995</v>
      </c>
      <c r="Z62" t="str">
        <f t="shared" si="5"/>
        <v/>
      </c>
      <c r="AB62">
        <f t="shared" si="6"/>
        <v>0.72040000000000004</v>
      </c>
      <c r="AG62">
        <f t="shared" si="7"/>
        <v>1000</v>
      </c>
      <c r="AH62" s="5">
        <f t="shared" si="8"/>
        <v>720.40000000000009</v>
      </c>
      <c r="AI62" t="str">
        <f t="shared" si="9"/>
        <v>CERRAR</v>
      </c>
      <c r="AK62">
        <v>5</v>
      </c>
    </row>
    <row r="63" spans="1:37" x14ac:dyDescent="0.55000000000000004">
      <c r="A63" s="3">
        <v>45924</v>
      </c>
      <c r="B63" s="4">
        <v>0.625</v>
      </c>
      <c r="C63" t="s">
        <v>31</v>
      </c>
      <c r="D63" t="e">
        <f>IF(COUNTIF(#REF!,"&lt;&gt;NAN")=0, 0, IF(AND(OR(#REF!=#REF!,#REF!="NAN"), OR(#REF!=#REF!,#REF!="NAN"), OR(#REF!=#REF!,#REF!="NAN")),#REF!, 0))</f>
        <v>#REF!</v>
      </c>
      <c r="E63" t="e">
        <f>IF(#REF!="NAN","",IF(
   AND(OR(#REF!=#REF!,#REF!="NAN"),
     OR(#REF!=#REF!,#REF!="NAN"),
     OR(#REF!=#REF!,#REF!="NAN")),
   1,
   0))</f>
        <v>#REF!</v>
      </c>
      <c r="G63" t="e">
        <f>IF(OR(#REF!="UP",#REF!="DOWN"),1,0)</f>
        <v>#REF!</v>
      </c>
      <c r="H63" t="e">
        <f>IF(OR(#REF!="UP",#REF!="DOWN"),1,0)</f>
        <v>#REF!</v>
      </c>
      <c r="I63" t="e">
        <f>IF(OR(#REF!="UP",#REF!="DOWN"),1,0)</f>
        <v>#REF!</v>
      </c>
      <c r="M63" t="e">
        <f>IF(OR(#REF!="UP",#REF!="DOWN"),1,1)</f>
        <v>#REF!</v>
      </c>
      <c r="N63" t="e">
        <f>IF(OR(#REF!="UP",#REF!="DOWN"),VLOOKUP($C63,Configuración!$H$2:$K$11,3),1)</f>
        <v>#REF!</v>
      </c>
      <c r="O63" t="e">
        <f>IF(OR(#REF!="UP",#REF!="DOWN"),VLOOKUP($C63,Configuración!$H$2:$K$11,4),1)</f>
        <v>#REF!</v>
      </c>
      <c r="P63" t="e">
        <f t="shared" si="0"/>
        <v>#REF!</v>
      </c>
      <c r="Q63" t="e">
        <f t="shared" si="1"/>
        <v>#REF!</v>
      </c>
      <c r="R63" t="e">
        <f t="shared" si="2"/>
        <v>#REF!</v>
      </c>
      <c r="T63" t="e">
        <f>IF(R63&lt;&gt;0,Configuración!$E$2,0)</f>
        <v>#REF!</v>
      </c>
      <c r="U63" t="e">
        <f>IF(R63&lt;&gt;0,Configuración!$F$2,0)</f>
        <v>#REF!</v>
      </c>
      <c r="V63" t="e">
        <f>IF(R63&lt;&gt;0,Configuración!$G$2,0)</f>
        <v>#REF!</v>
      </c>
      <c r="W63" t="e">
        <f t="shared" si="3"/>
        <v>#REF!</v>
      </c>
      <c r="X63" t="e">
        <f t="shared" si="4"/>
        <v>#REF!</v>
      </c>
      <c r="Z63" t="e">
        <f t="shared" si="5"/>
        <v>#REF!</v>
      </c>
      <c r="AB63" t="e">
        <f t="shared" si="6"/>
        <v>#REF!</v>
      </c>
      <c r="AG63" t="e">
        <f t="shared" si="7"/>
        <v>#REF!</v>
      </c>
      <c r="AH63" s="5" t="e">
        <f t="shared" si="8"/>
        <v>#REF!</v>
      </c>
      <c r="AI63" t="e">
        <f t="shared" si="9"/>
        <v>#REF!</v>
      </c>
    </row>
    <row r="64" spans="1:37" x14ac:dyDescent="0.55000000000000004">
      <c r="A64" s="3">
        <v>45925</v>
      </c>
      <c r="B64" s="4">
        <v>0.625</v>
      </c>
      <c r="C64" t="s">
        <v>32</v>
      </c>
      <c r="D64" t="e">
        <f>IF(COUNTIF(#REF!,"&lt;&gt;NAN")=0, 0, IF(AND(OR(#REF!=#REF!,#REF!="NAN"), OR(#REF!=#REF!,#REF!="NAN"), OR(#REF!=#REF!,#REF!="NAN")),#REF!, 0))</f>
        <v>#REF!</v>
      </c>
      <c r="E64" t="e">
        <f>IF(#REF!="NAN","",IF(
   AND(OR(#REF!=#REF!,#REF!="NAN"),
     OR(#REF!=#REF!,#REF!="NAN"),
     OR(#REF!=#REF!,#REF!="NAN")),
   1,
   0))</f>
        <v>#REF!</v>
      </c>
      <c r="G64" t="e">
        <f>IF(OR(#REF!="UP",#REF!="DOWN"),1,0)</f>
        <v>#REF!</v>
      </c>
      <c r="H64" t="e">
        <f>IF(OR(#REF!="UP",#REF!="DOWN"),1,0)</f>
        <v>#REF!</v>
      </c>
      <c r="I64" t="e">
        <f>IF(OR(#REF!="UP",#REF!="DOWN"),1,0)</f>
        <v>#REF!</v>
      </c>
      <c r="M64" t="e">
        <f>IF(OR(#REF!="UP",#REF!="DOWN"),1,1)</f>
        <v>#REF!</v>
      </c>
      <c r="N64" t="e">
        <f>IF(OR(#REF!="UP",#REF!="DOWN"),VLOOKUP($C64,Configuración!$H$2:$K$11,3),1)</f>
        <v>#REF!</v>
      </c>
      <c r="O64" t="e">
        <f>IF(OR(#REF!="UP",#REF!="DOWN"),VLOOKUP($C64,Configuración!$H$2:$K$11,4),1)</f>
        <v>#REF!</v>
      </c>
      <c r="P64" t="e">
        <f t="shared" si="0"/>
        <v>#REF!</v>
      </c>
      <c r="Q64" t="e">
        <f t="shared" si="1"/>
        <v>#REF!</v>
      </c>
      <c r="R64" t="e">
        <f t="shared" si="2"/>
        <v>#REF!</v>
      </c>
      <c r="T64" t="e">
        <f>IF(R64&lt;&gt;0,Configuración!$E$2,0)</f>
        <v>#REF!</v>
      </c>
      <c r="U64" t="e">
        <f>IF(R64&lt;&gt;0,Configuración!$F$2,0)</f>
        <v>#REF!</v>
      </c>
      <c r="V64" t="e">
        <f>IF(R64&lt;&gt;0,Configuración!$G$2,0)</f>
        <v>#REF!</v>
      </c>
      <c r="W64" t="e">
        <f t="shared" si="3"/>
        <v>#REF!</v>
      </c>
      <c r="X64" t="e">
        <f t="shared" si="4"/>
        <v>#REF!</v>
      </c>
      <c r="Z64" t="e">
        <f t="shared" si="5"/>
        <v>#REF!</v>
      </c>
      <c r="AB64" t="e">
        <f t="shared" si="6"/>
        <v>#REF!</v>
      </c>
      <c r="AG64" t="e">
        <f t="shared" si="7"/>
        <v>#REF!</v>
      </c>
      <c r="AH64" s="5" t="e">
        <f t="shared" si="8"/>
        <v>#REF!</v>
      </c>
      <c r="AI64" t="e">
        <f t="shared" si="9"/>
        <v>#REF!</v>
      </c>
    </row>
    <row r="65" spans="1:37" x14ac:dyDescent="0.55000000000000004">
      <c r="A65" s="3">
        <v>45925</v>
      </c>
      <c r="B65" s="4">
        <v>0.625</v>
      </c>
      <c r="C65" t="s">
        <v>26</v>
      </c>
      <c r="D65" t="e">
        <f>IF(COUNTIF(#REF!,"&lt;&gt;NAN")=0, 0, IF(AND(OR(#REF!=#REF!,#REF!="NAN"), OR(#REF!=#REF!,#REF!="NAN"), OR(#REF!=#REF!,#REF!="NAN")),#REF!, 0))</f>
        <v>#REF!</v>
      </c>
      <c r="E65" t="e">
        <f>IF(#REF!="NAN","",IF(
   AND(OR(#REF!=#REF!,#REF!="NAN"),
     OR(#REF!=#REF!,#REF!="NAN"),
     OR(#REF!=#REF!,#REF!="NAN")),
   1,
   0))</f>
        <v>#REF!</v>
      </c>
      <c r="G65" t="e">
        <f>IF(OR(#REF!="UP",#REF!="DOWN"),1,0)</f>
        <v>#REF!</v>
      </c>
      <c r="H65" t="e">
        <f>IF(OR(#REF!="UP",#REF!="DOWN"),1,0)</f>
        <v>#REF!</v>
      </c>
      <c r="I65" t="e">
        <f>IF(OR(#REF!="UP",#REF!="DOWN"),1,0)</f>
        <v>#REF!</v>
      </c>
      <c r="M65" t="e">
        <f>IF(OR(#REF!="UP",#REF!="DOWN"),1,1)</f>
        <v>#REF!</v>
      </c>
      <c r="N65" t="e">
        <f>IF(OR(#REF!="UP",#REF!="DOWN"),VLOOKUP($C65,Configuración!$H$2:$K$11,3),1)</f>
        <v>#REF!</v>
      </c>
      <c r="O65" t="e">
        <f>IF(OR(#REF!="UP",#REF!="DOWN"),VLOOKUP($C65,Configuración!$H$2:$K$11,4),1)</f>
        <v>#REF!</v>
      </c>
      <c r="P65" t="e">
        <f t="shared" si="0"/>
        <v>#REF!</v>
      </c>
      <c r="Q65" t="e">
        <f t="shared" si="1"/>
        <v>#REF!</v>
      </c>
      <c r="R65" t="e">
        <f t="shared" si="2"/>
        <v>#REF!</v>
      </c>
      <c r="T65" t="e">
        <f>IF(R65&lt;&gt;0,Configuración!$E$2,0)</f>
        <v>#REF!</v>
      </c>
      <c r="U65" t="e">
        <f>IF(R65&lt;&gt;0,Configuración!$F$2,0)</f>
        <v>#REF!</v>
      </c>
      <c r="V65" t="e">
        <f>IF(R65&lt;&gt;0,Configuración!$G$2,0)</f>
        <v>#REF!</v>
      </c>
      <c r="W65" t="e">
        <f t="shared" si="3"/>
        <v>#REF!</v>
      </c>
      <c r="X65" t="e">
        <f t="shared" si="4"/>
        <v>#REF!</v>
      </c>
      <c r="Z65" t="e">
        <f t="shared" si="5"/>
        <v>#REF!</v>
      </c>
      <c r="AB65" t="e">
        <f t="shared" si="6"/>
        <v>#REF!</v>
      </c>
      <c r="AG65" t="e">
        <f t="shared" si="7"/>
        <v>#REF!</v>
      </c>
      <c r="AH65" s="5" t="e">
        <f t="shared" si="8"/>
        <v>#REF!</v>
      </c>
      <c r="AI65" t="e">
        <f t="shared" si="9"/>
        <v>#REF!</v>
      </c>
    </row>
    <row r="66" spans="1:37" x14ac:dyDescent="0.55000000000000004">
      <c r="A66" s="3">
        <v>45925</v>
      </c>
      <c r="B66" s="4">
        <v>0.625</v>
      </c>
      <c r="C66" t="s">
        <v>33</v>
      </c>
      <c r="D66" t="e">
        <f>IF(COUNTIF(#REF!,"&lt;&gt;NAN")=0, 0, IF(AND(OR(#REF!=#REF!,#REF!="NAN"), OR(#REF!=#REF!,#REF!="NAN"), OR(#REF!=#REF!,#REF!="NAN")),#REF!, 0))</f>
        <v>#REF!</v>
      </c>
      <c r="E66" t="e">
        <f>IF(#REF!="NAN","",IF(
   AND(OR(#REF!=#REF!,#REF!="NAN"),
     OR(#REF!=#REF!,#REF!="NAN"),
     OR(#REF!=#REF!,#REF!="NAN")),
   1,
   0))</f>
        <v>#REF!</v>
      </c>
      <c r="G66" t="e">
        <f>IF(OR(#REF!="UP",#REF!="DOWN"),1,0)</f>
        <v>#REF!</v>
      </c>
      <c r="H66" t="e">
        <f>IF(OR(#REF!="UP",#REF!="DOWN"),1,0)</f>
        <v>#REF!</v>
      </c>
      <c r="I66" t="e">
        <f>IF(OR(#REF!="UP",#REF!="DOWN"),1,0)</f>
        <v>#REF!</v>
      </c>
      <c r="M66" t="e">
        <f>IF(OR(#REF!="UP",#REF!="DOWN"),1,1)</f>
        <v>#REF!</v>
      </c>
      <c r="N66" t="e">
        <f>IF(OR(#REF!="UP",#REF!="DOWN"),VLOOKUP($C66,Configuración!$H$2:$K$11,3),1)</f>
        <v>#REF!</v>
      </c>
      <c r="O66" t="e">
        <f>IF(OR(#REF!="UP",#REF!="DOWN"),VLOOKUP($C66,Configuración!$H$2:$K$11,4),1)</f>
        <v>#REF!</v>
      </c>
      <c r="P66" t="e">
        <f t="shared" si="0"/>
        <v>#REF!</v>
      </c>
      <c r="Q66" t="e">
        <f t="shared" si="1"/>
        <v>#REF!</v>
      </c>
      <c r="R66" t="e">
        <f t="shared" si="2"/>
        <v>#REF!</v>
      </c>
      <c r="T66" t="e">
        <f>IF(R66&lt;&gt;0,Configuración!$E$2,0)</f>
        <v>#REF!</v>
      </c>
      <c r="U66" t="e">
        <f>IF(R66&lt;&gt;0,Configuración!$F$2,0)</f>
        <v>#REF!</v>
      </c>
      <c r="V66" t="e">
        <f>IF(R66&lt;&gt;0,Configuración!$G$2,0)</f>
        <v>#REF!</v>
      </c>
      <c r="W66" t="e">
        <f t="shared" si="3"/>
        <v>#REF!</v>
      </c>
      <c r="X66" t="e">
        <f t="shared" si="4"/>
        <v>#REF!</v>
      </c>
      <c r="Z66" t="e">
        <f t="shared" si="5"/>
        <v>#REF!</v>
      </c>
      <c r="AB66" t="e">
        <f t="shared" si="6"/>
        <v>#REF!</v>
      </c>
      <c r="AG66" t="e">
        <f t="shared" si="7"/>
        <v>#REF!</v>
      </c>
      <c r="AH66" s="5" t="e">
        <f t="shared" si="8"/>
        <v>#REF!</v>
      </c>
      <c r="AI66" t="e">
        <f t="shared" si="9"/>
        <v>#REF!</v>
      </c>
    </row>
    <row r="67" spans="1:37" x14ac:dyDescent="0.55000000000000004">
      <c r="A67" s="3">
        <v>45925</v>
      </c>
      <c r="B67" s="4">
        <v>0.625</v>
      </c>
      <c r="C67" t="s">
        <v>35</v>
      </c>
      <c r="D67" t="e">
        <f>IF(COUNTIF(#REF!,"&lt;&gt;NAN")=0, 0, IF(AND(OR(#REF!=#REF!,#REF!="NAN"), OR(#REF!=#REF!,#REF!="NAN"), OR(#REF!=#REF!,#REF!="NAN")),#REF!, 0))</f>
        <v>#REF!</v>
      </c>
      <c r="E67" t="e">
        <f>IF(#REF!="NAN","",IF(
   AND(OR(#REF!=#REF!,#REF!="NAN"),
     OR(#REF!=#REF!,#REF!="NAN"),
     OR(#REF!=#REF!,#REF!="NAN")),
   1,
   0))</f>
        <v>#REF!</v>
      </c>
      <c r="G67" t="e">
        <f>IF(OR(#REF!="UP",#REF!="DOWN"),1,0)</f>
        <v>#REF!</v>
      </c>
      <c r="H67" t="e">
        <f>IF(OR(#REF!="UP",#REF!="DOWN"),1,0)</f>
        <v>#REF!</v>
      </c>
      <c r="I67" t="e">
        <f>IF(OR(#REF!="UP",#REF!="DOWN"),1,0)</f>
        <v>#REF!</v>
      </c>
      <c r="M67" t="e">
        <f>IF(OR(#REF!="UP",#REF!="DOWN"),1,1)</f>
        <v>#REF!</v>
      </c>
      <c r="N67" t="e">
        <f>IF(OR(#REF!="UP",#REF!="DOWN"),VLOOKUP($C67,Configuración!$H$2:$K$11,3),1)</f>
        <v>#REF!</v>
      </c>
      <c r="O67" t="e">
        <f>IF(OR(#REF!="UP",#REF!="DOWN"),VLOOKUP($C67,Configuración!$H$2:$K$11,4),1)</f>
        <v>#REF!</v>
      </c>
      <c r="P67" t="e">
        <f t="shared" si="0"/>
        <v>#REF!</v>
      </c>
      <c r="Q67" t="e">
        <f t="shared" si="1"/>
        <v>#REF!</v>
      </c>
      <c r="R67" t="e">
        <f t="shared" si="2"/>
        <v>#REF!</v>
      </c>
      <c r="T67" t="e">
        <f>IF(R67&lt;&gt;0,Configuración!$E$2,0)</f>
        <v>#REF!</v>
      </c>
      <c r="U67" t="e">
        <f>IF(R67&lt;&gt;0,Configuración!$F$2,0)</f>
        <v>#REF!</v>
      </c>
      <c r="V67" t="e">
        <f>IF(R67&lt;&gt;0,Configuración!$G$2,0)</f>
        <v>#REF!</v>
      </c>
      <c r="W67" t="e">
        <f t="shared" si="3"/>
        <v>#REF!</v>
      </c>
      <c r="X67" t="e">
        <f t="shared" si="4"/>
        <v>#REF!</v>
      </c>
      <c r="Z67" t="e">
        <f t="shared" si="5"/>
        <v>#REF!</v>
      </c>
      <c r="AB67" t="e">
        <f t="shared" si="6"/>
        <v>#REF!</v>
      </c>
      <c r="AG67" t="e">
        <f t="shared" si="7"/>
        <v>#REF!</v>
      </c>
      <c r="AH67" s="5" t="e">
        <f t="shared" si="8"/>
        <v>#REF!</v>
      </c>
      <c r="AI67" t="e">
        <f t="shared" si="9"/>
        <v>#REF!</v>
      </c>
    </row>
    <row r="68" spans="1:37" x14ac:dyDescent="0.55000000000000004">
      <c r="A68" s="3">
        <v>45925</v>
      </c>
      <c r="B68" s="4">
        <v>0.625</v>
      </c>
      <c r="C68" t="s">
        <v>34</v>
      </c>
      <c r="D68" t="e">
        <f>IF(COUNTIF(#REF!,"&lt;&gt;NAN")=0, 0, IF(AND(OR(#REF!=#REF!,#REF!="NAN"), OR(#REF!=#REF!,#REF!="NAN"), OR(#REF!=#REF!,#REF!="NAN")),#REF!, 0))</f>
        <v>#REF!</v>
      </c>
      <c r="E68" t="e">
        <f>IF(#REF!="NAN","",IF(
   AND(OR(#REF!=#REF!,#REF!="NAN"),
     OR(#REF!=#REF!,#REF!="NAN"),
     OR(#REF!=#REF!,#REF!="NAN")),
   1,
   0))</f>
        <v>#REF!</v>
      </c>
      <c r="G68" t="e">
        <f>IF(OR(#REF!="UP",#REF!="DOWN"),1,0)</f>
        <v>#REF!</v>
      </c>
      <c r="H68" t="e">
        <f>IF(OR(#REF!="UP",#REF!="DOWN"),1,0)</f>
        <v>#REF!</v>
      </c>
      <c r="I68" t="e">
        <f>IF(OR(#REF!="UP",#REF!="DOWN"),1,0)</f>
        <v>#REF!</v>
      </c>
      <c r="M68" t="e">
        <f>IF(OR(#REF!="UP",#REF!="DOWN"),1,1)</f>
        <v>#REF!</v>
      </c>
      <c r="N68" t="e">
        <f>IF(OR(#REF!="UP",#REF!="DOWN"),VLOOKUP($C68,Configuración!$H$2:$K$11,3),1)</f>
        <v>#REF!</v>
      </c>
      <c r="O68" t="e">
        <f>IF(OR(#REF!="UP",#REF!="DOWN"),VLOOKUP($C68,Configuración!$H$2:$K$11,4),1)</f>
        <v>#REF!</v>
      </c>
      <c r="P68" t="e">
        <f t="shared" ref="P68:P131" si="10">IF(SUM(G68:I68)=0,
    0,
    IF(SUM(G68:I68)=1,
        G68*M68 + H68*N68 + I68*O68,
        IF(SUM(G68:I68)=2,
            1 - PRODUCT(
                IF(G68=1,1-M68,1),
                IF(H68=1,1-N68,1),
                IF(I68=1,1-O68,1)
            ),
            IF(SUM(G68:I68)=3,
                1 - PRODUCT(1-M68,1-N68,1-O68),
                0
            )
        )
    )
)</f>
        <v>#REF!</v>
      </c>
      <c r="Q68" t="e">
        <f t="shared" ref="Q68:Q76" si="11">P68*E68</f>
        <v>#REF!</v>
      </c>
      <c r="R68" t="e">
        <f t="shared" ref="R68:R110" si="12">IF(AND(OR(D68="UP",D68="DOWN"), Q68&gt;0.95), D68, 0)</f>
        <v>#REF!</v>
      </c>
      <c r="T68" t="e">
        <f>IF(R68&lt;&gt;0,Configuración!$E$2,0)</f>
        <v>#REF!</v>
      </c>
      <c r="U68" t="e">
        <f>IF(R68&lt;&gt;0,Configuración!$F$2,0)</f>
        <v>#REF!</v>
      </c>
      <c r="V68" t="e">
        <f>IF(R68&lt;&gt;0,Configuración!$G$2,0)</f>
        <v>#REF!</v>
      </c>
      <c r="W68" t="e">
        <f t="shared" ref="W68:W131" si="13">IF(R68="DOWN",S68+(S68*T68/100),S68-(S68*T68/100))</f>
        <v>#REF!</v>
      </c>
      <c r="X68" t="e">
        <f t="shared" ref="X68:X131" si="14">IF(R68="DOWN",S68-(S68*U68/100),S68+(S68*U68/100))</f>
        <v>#REF!</v>
      </c>
      <c r="Z68" t="e">
        <f t="shared" ref="Z68:Z131" si="15">IF(R68="DOWN",IF(Y68 &lt; S68 * (1 - 0.01), Y68 * (1 + 0.005), ""),IF(Y68 &gt; S68 * (1 + 0.01), Y68 * (1 - 0.005), ""))</f>
        <v>#REF!</v>
      </c>
      <c r="AB68" t="e">
        <f t="shared" ref="AB68:AB131" si="16">(($B$1) *(T68))/100</f>
        <v>#REF!</v>
      </c>
      <c r="AG68" t="e">
        <f t="shared" ref="AG68:AG131" si="17">IF(R68="DOWN",(S68-AA68)/S68*1000,(AA68-S68)/S68*1000)</f>
        <v>#REF!</v>
      </c>
      <c r="AH68" s="5" t="e">
        <f t="shared" ref="AH68:AH131" si="18">AB68*(AG68)</f>
        <v>#REF!</v>
      </c>
      <c r="AI68" t="e">
        <f t="shared" ref="AI68:AI131" si="19">IF(AK68&lt;V68,"MANTENER","CERRAR")</f>
        <v>#REF!</v>
      </c>
    </row>
    <row r="69" spans="1:37" x14ac:dyDescent="0.55000000000000004">
      <c r="A69" s="3">
        <v>45925</v>
      </c>
      <c r="B69" s="4">
        <v>0.625</v>
      </c>
      <c r="C69" t="s">
        <v>27</v>
      </c>
      <c r="D69" t="e">
        <f>IF(COUNTIF(#REF!,"&lt;&gt;NAN")=0, 0, IF(AND(OR(#REF!=#REF!,#REF!="NAN"), OR(#REF!=#REF!,#REF!="NAN"), OR(#REF!=#REF!,#REF!="NAN")),#REF!, 0))</f>
        <v>#REF!</v>
      </c>
      <c r="E69" t="e">
        <f>IF(#REF!="NAN","",IF(
   AND(OR(#REF!=#REF!,#REF!="NAN"),
     OR(#REF!=#REF!,#REF!="NAN"),
     OR(#REF!=#REF!,#REF!="NAN")),
   1,
   0))</f>
        <v>#REF!</v>
      </c>
      <c r="G69" t="e">
        <f>IF(OR(#REF!="UP",#REF!="DOWN"),1,0)</f>
        <v>#REF!</v>
      </c>
      <c r="H69" t="e">
        <f>IF(OR(#REF!="UP",#REF!="DOWN"),1,0)</f>
        <v>#REF!</v>
      </c>
      <c r="I69" t="e">
        <f>IF(OR(#REF!="UP",#REF!="DOWN"),1,0)</f>
        <v>#REF!</v>
      </c>
      <c r="M69" t="e">
        <f>IF(OR(#REF!="UP",#REF!="DOWN"),1,1)</f>
        <v>#REF!</v>
      </c>
      <c r="N69" t="e">
        <f>IF(OR(#REF!="UP",#REF!="DOWN"),VLOOKUP($C69,Configuración!$H$2:$K$11,3),1)</f>
        <v>#REF!</v>
      </c>
      <c r="O69" t="e">
        <f>IF(OR(#REF!="UP",#REF!="DOWN"),VLOOKUP($C69,Configuración!$H$2:$K$11,4),1)</f>
        <v>#REF!</v>
      </c>
      <c r="P69" t="e">
        <f t="shared" si="10"/>
        <v>#REF!</v>
      </c>
      <c r="Q69" t="e">
        <f t="shared" si="11"/>
        <v>#REF!</v>
      </c>
      <c r="R69" t="e">
        <f t="shared" si="12"/>
        <v>#REF!</v>
      </c>
      <c r="T69" t="e">
        <f>IF(R69&lt;&gt;0,Configuración!$E$2,0)</f>
        <v>#REF!</v>
      </c>
      <c r="U69" t="e">
        <f>IF(R69&lt;&gt;0,Configuración!$F$2,0)</f>
        <v>#REF!</v>
      </c>
      <c r="V69" t="e">
        <f>IF(R69&lt;&gt;0,Configuración!$G$2,0)</f>
        <v>#REF!</v>
      </c>
      <c r="W69" t="e">
        <f t="shared" si="13"/>
        <v>#REF!</v>
      </c>
      <c r="X69" t="e">
        <f t="shared" si="14"/>
        <v>#REF!</v>
      </c>
      <c r="Z69" t="e">
        <f t="shared" si="15"/>
        <v>#REF!</v>
      </c>
      <c r="AB69" t="e">
        <f t="shared" si="16"/>
        <v>#REF!</v>
      </c>
      <c r="AG69" t="e">
        <f t="shared" si="17"/>
        <v>#REF!</v>
      </c>
      <c r="AH69" s="5" t="e">
        <f t="shared" si="18"/>
        <v>#REF!</v>
      </c>
      <c r="AI69" t="e">
        <f t="shared" si="19"/>
        <v>#REF!</v>
      </c>
    </row>
    <row r="70" spans="1:37" x14ac:dyDescent="0.55000000000000004">
      <c r="A70" s="3">
        <v>45925</v>
      </c>
      <c r="B70" s="4">
        <v>0.625</v>
      </c>
      <c r="C70" t="s">
        <v>28</v>
      </c>
      <c r="D70" t="e">
        <f>IF(COUNTIF(#REF!,"&lt;&gt;NAN")=0, 0, IF(AND(OR(#REF!=#REF!,#REF!="NAN"), OR(#REF!=#REF!,#REF!="NAN"), OR(#REF!=#REF!,#REF!="NAN")),#REF!, 0))</f>
        <v>#REF!</v>
      </c>
      <c r="E70" t="e">
        <f>IF(#REF!="NAN","",IF(
   AND(OR(#REF!=#REF!,#REF!="NAN"),
     OR(#REF!=#REF!,#REF!="NAN"),
     OR(#REF!=#REF!,#REF!="NAN")),
   1,
   0))</f>
        <v>#REF!</v>
      </c>
      <c r="G70" t="e">
        <f>IF(OR(#REF!="UP",#REF!="DOWN"),1,0)</f>
        <v>#REF!</v>
      </c>
      <c r="H70" t="e">
        <f>IF(OR(#REF!="UP",#REF!="DOWN"),1,0)</f>
        <v>#REF!</v>
      </c>
      <c r="I70" t="e">
        <f>IF(OR(#REF!="UP",#REF!="DOWN"),1,0)</f>
        <v>#REF!</v>
      </c>
      <c r="M70" t="e">
        <f>IF(OR(#REF!="UP",#REF!="DOWN"),1,1)</f>
        <v>#REF!</v>
      </c>
      <c r="N70" t="e">
        <f>IF(OR(#REF!="UP",#REF!="DOWN"),VLOOKUP($C70,Configuración!$H$2:$K$11,3),1)</f>
        <v>#REF!</v>
      </c>
      <c r="O70" t="e">
        <f>IF(OR(#REF!="UP",#REF!="DOWN"),VLOOKUP($C70,Configuración!$H$2:$K$11,4),1)</f>
        <v>#REF!</v>
      </c>
      <c r="P70" t="e">
        <f t="shared" si="10"/>
        <v>#REF!</v>
      </c>
      <c r="Q70" t="e">
        <f t="shared" si="11"/>
        <v>#REF!</v>
      </c>
      <c r="R70" t="e">
        <f t="shared" si="12"/>
        <v>#REF!</v>
      </c>
      <c r="T70" t="e">
        <f>IF(R70&lt;&gt;0,Configuración!$E$2,0)</f>
        <v>#REF!</v>
      </c>
      <c r="U70" t="e">
        <f>IF(R70&lt;&gt;0,Configuración!$F$2,0)</f>
        <v>#REF!</v>
      </c>
      <c r="V70" t="e">
        <f>IF(R70&lt;&gt;0,Configuración!$G$2,0)</f>
        <v>#REF!</v>
      </c>
      <c r="W70" t="e">
        <f t="shared" si="13"/>
        <v>#REF!</v>
      </c>
      <c r="X70" t="e">
        <f t="shared" si="14"/>
        <v>#REF!</v>
      </c>
      <c r="Z70" t="e">
        <f t="shared" si="15"/>
        <v>#REF!</v>
      </c>
      <c r="AB70" t="e">
        <f t="shared" si="16"/>
        <v>#REF!</v>
      </c>
      <c r="AG70" t="e">
        <f t="shared" si="17"/>
        <v>#REF!</v>
      </c>
      <c r="AH70" s="5" t="e">
        <f t="shared" si="18"/>
        <v>#REF!</v>
      </c>
      <c r="AI70" t="e">
        <f t="shared" si="19"/>
        <v>#REF!</v>
      </c>
    </row>
    <row r="71" spans="1:37" x14ac:dyDescent="0.55000000000000004">
      <c r="A71" s="3">
        <v>45925</v>
      </c>
      <c r="B71" s="4">
        <v>0.625</v>
      </c>
      <c r="C71" t="s">
        <v>30</v>
      </c>
      <c r="D71" t="e">
        <f>IF(COUNTIF(#REF!,"&lt;&gt;NAN")=0, 0, IF(AND(OR(#REF!=#REF!,#REF!="NAN"), OR(#REF!=#REF!,#REF!="NAN"), OR(#REF!=#REF!,#REF!="NAN")),#REF!, 0))</f>
        <v>#REF!</v>
      </c>
      <c r="E71" t="e">
        <f>IF(#REF!="NAN","",IF(
   AND(OR(#REF!=#REF!,#REF!="NAN"),
     OR(#REF!=#REF!,#REF!="NAN"),
     OR(#REF!=#REF!,#REF!="NAN")),
   1,
   0))</f>
        <v>#REF!</v>
      </c>
      <c r="G71" t="e">
        <f>IF(OR(#REF!="UP",#REF!="DOWN"),1,0)</f>
        <v>#REF!</v>
      </c>
      <c r="H71" t="e">
        <f>IF(OR(#REF!="UP",#REF!="DOWN"),1,0)</f>
        <v>#REF!</v>
      </c>
      <c r="I71" t="e">
        <f>IF(OR(#REF!="UP",#REF!="DOWN"),1,0)</f>
        <v>#REF!</v>
      </c>
      <c r="M71" t="e">
        <f>IF(OR(#REF!="UP",#REF!="DOWN"),1,1)</f>
        <v>#REF!</v>
      </c>
      <c r="N71" t="e">
        <f>IF(OR(#REF!="UP",#REF!="DOWN"),VLOOKUP($C71,Configuración!$H$2:$K$11,3),1)</f>
        <v>#REF!</v>
      </c>
      <c r="O71" t="e">
        <f>IF(OR(#REF!="UP",#REF!="DOWN"),VLOOKUP($C71,Configuración!$H$2:$K$11,4),1)</f>
        <v>#REF!</v>
      </c>
      <c r="P71" t="e">
        <f t="shared" si="10"/>
        <v>#REF!</v>
      </c>
      <c r="Q71" t="e">
        <f t="shared" si="11"/>
        <v>#REF!</v>
      </c>
      <c r="R71" t="e">
        <f t="shared" si="12"/>
        <v>#REF!</v>
      </c>
      <c r="T71" t="e">
        <f>IF(R71&lt;&gt;0,Configuración!$E$2,0)</f>
        <v>#REF!</v>
      </c>
      <c r="U71" t="e">
        <f>IF(R71&lt;&gt;0,Configuración!$F$2,0)</f>
        <v>#REF!</v>
      </c>
      <c r="V71" t="e">
        <f>IF(R71&lt;&gt;0,Configuración!$G$2,0)</f>
        <v>#REF!</v>
      </c>
      <c r="W71" t="e">
        <f t="shared" si="13"/>
        <v>#REF!</v>
      </c>
      <c r="X71" t="e">
        <f t="shared" si="14"/>
        <v>#REF!</v>
      </c>
      <c r="Z71" t="e">
        <f t="shared" si="15"/>
        <v>#REF!</v>
      </c>
      <c r="AB71" t="e">
        <f t="shared" si="16"/>
        <v>#REF!</v>
      </c>
      <c r="AG71" t="e">
        <f t="shared" si="17"/>
        <v>#REF!</v>
      </c>
      <c r="AH71" s="5" t="e">
        <f t="shared" si="18"/>
        <v>#REF!</v>
      </c>
      <c r="AI71" t="e">
        <f t="shared" si="19"/>
        <v>#REF!</v>
      </c>
    </row>
    <row r="72" spans="1:37" x14ac:dyDescent="0.55000000000000004">
      <c r="A72" s="3">
        <v>45925</v>
      </c>
      <c r="B72" s="4">
        <v>0.625</v>
      </c>
      <c r="C72" t="s">
        <v>29</v>
      </c>
      <c r="D72" t="e">
        <f>IF(COUNTIF(#REF!,"&lt;&gt;NAN")=0, 0, IF(AND(OR(#REF!=#REF!,#REF!="NAN"), OR(#REF!=#REF!,#REF!="NAN"), OR(#REF!=#REF!,#REF!="NAN")),#REF!, 0))</f>
        <v>#REF!</v>
      </c>
      <c r="E72" t="e">
        <f>IF(#REF!="NAN","",IF(
   AND(OR(#REF!=#REF!,#REF!="NAN"),
     OR(#REF!=#REF!,#REF!="NAN"),
     OR(#REF!=#REF!,#REF!="NAN")),
   1,
   0))</f>
        <v>#REF!</v>
      </c>
      <c r="G72" t="e">
        <f>IF(OR(#REF!="UP",#REF!="DOWN"),1,0)</f>
        <v>#REF!</v>
      </c>
      <c r="H72" t="e">
        <f>IF(OR(#REF!="UP",#REF!="DOWN"),1,0)</f>
        <v>#REF!</v>
      </c>
      <c r="I72" t="e">
        <f>IF(OR(#REF!="UP",#REF!="DOWN"),1,0)</f>
        <v>#REF!</v>
      </c>
      <c r="M72" t="e">
        <f>IF(OR(#REF!="UP",#REF!="DOWN"),1,1)</f>
        <v>#REF!</v>
      </c>
      <c r="N72" t="e">
        <f>IF(OR(#REF!="UP",#REF!="DOWN"),VLOOKUP($C72,Configuración!$H$2:$K$11,3),1)</f>
        <v>#REF!</v>
      </c>
      <c r="O72" t="e">
        <f>IF(OR(#REF!="UP",#REF!="DOWN"),VLOOKUP($C72,Configuración!$H$2:$K$11,4),1)</f>
        <v>#REF!</v>
      </c>
      <c r="P72" t="e">
        <f t="shared" si="10"/>
        <v>#REF!</v>
      </c>
      <c r="Q72" t="e">
        <f t="shared" si="11"/>
        <v>#REF!</v>
      </c>
      <c r="R72" t="s">
        <v>38</v>
      </c>
      <c r="S72">
        <v>0.78951000000000005</v>
      </c>
      <c r="T72">
        <f>IF(R72&lt;&gt;0,Configuración!$E$2,0)</f>
        <v>1</v>
      </c>
      <c r="U72">
        <f>IF(R72&lt;&gt;0,Configuración!$F$2,0)</f>
        <v>2</v>
      </c>
      <c r="V72">
        <f>IF(R72&lt;&gt;0,Configuración!$G$2,0)</f>
        <v>5</v>
      </c>
      <c r="W72">
        <f t="shared" si="13"/>
        <v>0.79740510000000009</v>
      </c>
      <c r="X72">
        <f t="shared" si="14"/>
        <v>0.77371980000000007</v>
      </c>
      <c r="Y72">
        <v>0.79635999999999996</v>
      </c>
      <c r="Z72" t="str">
        <f t="shared" si="15"/>
        <v/>
      </c>
      <c r="AA72">
        <v>0.79788999999999999</v>
      </c>
      <c r="AB72">
        <f t="shared" si="16"/>
        <v>0.72040000000000004</v>
      </c>
      <c r="AC72" t="s">
        <v>61</v>
      </c>
      <c r="AD72" s="3">
        <v>45925</v>
      </c>
      <c r="AE72" s="4">
        <v>0.27430555555555558</v>
      </c>
      <c r="AF72" t="s">
        <v>36</v>
      </c>
      <c r="AG72">
        <f t="shared" si="17"/>
        <v>-10.614178414459529</v>
      </c>
      <c r="AH72" s="5">
        <f t="shared" si="18"/>
        <v>-7.6464541297766448</v>
      </c>
      <c r="AI72" t="str">
        <f t="shared" si="19"/>
        <v>CERRAR</v>
      </c>
      <c r="AJ72" t="s">
        <v>62</v>
      </c>
      <c r="AK72">
        <v>6</v>
      </c>
    </row>
    <row r="73" spans="1:37" x14ac:dyDescent="0.55000000000000004">
      <c r="A73" s="3">
        <v>45925</v>
      </c>
      <c r="B73" s="4">
        <v>0.625</v>
      </c>
      <c r="C73" t="s">
        <v>31</v>
      </c>
      <c r="D73" t="e">
        <f>IF(COUNTIF(#REF!,"&lt;&gt;NAN")=0, 0, IF(AND(OR(#REF!=#REF!,#REF!="NAN"), OR(#REF!=#REF!,#REF!="NAN"), OR(#REF!=#REF!,#REF!="NAN")),#REF!, 0))</f>
        <v>#REF!</v>
      </c>
      <c r="E73" t="e">
        <f>IF(#REF!="NAN","",IF(
   AND(OR(#REF!=#REF!,#REF!="NAN"),
     OR(#REF!=#REF!,#REF!="NAN"),
     OR(#REF!=#REF!,#REF!="NAN")),
   1,
   0))</f>
        <v>#REF!</v>
      </c>
      <c r="G73" t="e">
        <f>IF(OR(#REF!="UP",#REF!="DOWN"),1,0)</f>
        <v>#REF!</v>
      </c>
      <c r="H73" t="e">
        <f>IF(OR(#REF!="UP",#REF!="DOWN"),1,0)</f>
        <v>#REF!</v>
      </c>
      <c r="I73" t="e">
        <f>IF(OR(#REF!="UP",#REF!="DOWN"),1,0)</f>
        <v>#REF!</v>
      </c>
      <c r="M73" t="e">
        <f>IF(OR(#REF!="UP",#REF!="DOWN"),1,1)</f>
        <v>#REF!</v>
      </c>
      <c r="N73" t="e">
        <f>IF(OR(#REF!="UP",#REF!="DOWN"),VLOOKUP($C73,Configuración!$H$2:$K$11,3),1)</f>
        <v>#REF!</v>
      </c>
      <c r="O73" t="e">
        <f>IF(OR(#REF!="UP",#REF!="DOWN"),VLOOKUP($C73,Configuración!$H$2:$K$11,4),1)</f>
        <v>#REF!</v>
      </c>
      <c r="P73" t="e">
        <f t="shared" si="10"/>
        <v>#REF!</v>
      </c>
      <c r="Q73" t="e">
        <f t="shared" si="11"/>
        <v>#REF!</v>
      </c>
      <c r="R73" t="e">
        <f t="shared" si="12"/>
        <v>#REF!</v>
      </c>
      <c r="T73" t="e">
        <f>IF(R73&lt;&gt;0,Configuración!$E$2,0)</f>
        <v>#REF!</v>
      </c>
      <c r="U73" t="e">
        <f>IF(R73&lt;&gt;0,Configuración!$F$2,0)</f>
        <v>#REF!</v>
      </c>
      <c r="V73" t="e">
        <f>IF(R73&lt;&gt;0,Configuración!$G$2,0)</f>
        <v>#REF!</v>
      </c>
      <c r="W73" t="e">
        <f t="shared" si="13"/>
        <v>#REF!</v>
      </c>
      <c r="X73" t="e">
        <f t="shared" si="14"/>
        <v>#REF!</v>
      </c>
      <c r="Z73" t="e">
        <f t="shared" si="15"/>
        <v>#REF!</v>
      </c>
      <c r="AB73" t="e">
        <f t="shared" si="16"/>
        <v>#REF!</v>
      </c>
      <c r="AG73" t="e">
        <f t="shared" si="17"/>
        <v>#REF!</v>
      </c>
      <c r="AH73" s="5" t="e">
        <f t="shared" si="18"/>
        <v>#REF!</v>
      </c>
      <c r="AI73" t="e">
        <f t="shared" si="19"/>
        <v>#REF!</v>
      </c>
    </row>
    <row r="74" spans="1:37" x14ac:dyDescent="0.55000000000000004">
      <c r="A74" s="3">
        <v>45926</v>
      </c>
      <c r="B74" s="4">
        <v>0.625</v>
      </c>
      <c r="C74" t="s">
        <v>32</v>
      </c>
      <c r="D74" t="e">
        <f>IF(COUNTIF(#REF!,"&lt;&gt;NAN")=0, 0, IF(AND(OR(#REF!=#REF!,#REF!="NAN"), OR(#REF!=#REF!,#REF!="NAN"), OR(#REF!=#REF!,#REF!="NAN")),#REF!, 0))</f>
        <v>#REF!</v>
      </c>
      <c r="E74" t="e">
        <f>IF(#REF!="NAN","",IF(
   AND(OR(#REF!=#REF!,#REF!="NAN"),
     OR(#REF!=#REF!,#REF!="NAN"),
     OR(#REF!=#REF!,#REF!="NAN")),
   1,
   0))</f>
        <v>#REF!</v>
      </c>
      <c r="G74" t="e">
        <f>IF(OR(#REF!="UP",#REF!="DOWN"),1,0)</f>
        <v>#REF!</v>
      </c>
      <c r="H74" t="e">
        <f>IF(OR(#REF!="UP",#REF!="DOWN"),1,0)</f>
        <v>#REF!</v>
      </c>
      <c r="I74" t="e">
        <f>IF(OR(#REF!="UP",#REF!="DOWN"),1,0)</f>
        <v>#REF!</v>
      </c>
      <c r="M74" t="e">
        <f>IF(OR(#REF!="UP",#REF!="DOWN"),1,1)</f>
        <v>#REF!</v>
      </c>
      <c r="N74" t="e">
        <f>IF(OR(#REF!="UP",#REF!="DOWN"),VLOOKUP($C74,Configuración!$H$2:$K$11,3),1)</f>
        <v>#REF!</v>
      </c>
      <c r="O74" t="e">
        <f>IF(OR(#REF!="UP",#REF!="DOWN"),VLOOKUP($C74,Configuración!$H$2:$K$11,4),1)</f>
        <v>#REF!</v>
      </c>
      <c r="P74" t="e">
        <f t="shared" si="10"/>
        <v>#REF!</v>
      </c>
      <c r="Q74" t="e">
        <f t="shared" si="11"/>
        <v>#REF!</v>
      </c>
      <c r="R74" t="e">
        <f t="shared" si="12"/>
        <v>#REF!</v>
      </c>
      <c r="T74" t="e">
        <f>IF(R74&lt;&gt;0,Configuración!$E$2,0)</f>
        <v>#REF!</v>
      </c>
      <c r="U74" t="e">
        <f>IF(R74&lt;&gt;0,Configuración!$F$2,0)</f>
        <v>#REF!</v>
      </c>
      <c r="V74" t="e">
        <f>IF(R74&lt;&gt;0,Configuración!$G$2,0)</f>
        <v>#REF!</v>
      </c>
      <c r="W74" t="e">
        <f t="shared" si="13"/>
        <v>#REF!</v>
      </c>
      <c r="X74" t="e">
        <f t="shared" si="14"/>
        <v>#REF!</v>
      </c>
      <c r="Z74" t="e">
        <f t="shared" si="15"/>
        <v>#REF!</v>
      </c>
      <c r="AB74" t="e">
        <f t="shared" si="16"/>
        <v>#REF!</v>
      </c>
      <c r="AG74" t="e">
        <f t="shared" si="17"/>
        <v>#REF!</v>
      </c>
      <c r="AH74" s="5" t="e">
        <f t="shared" si="18"/>
        <v>#REF!</v>
      </c>
      <c r="AI74" t="e">
        <f t="shared" si="19"/>
        <v>#REF!</v>
      </c>
    </row>
    <row r="75" spans="1:37" x14ac:dyDescent="0.55000000000000004">
      <c r="A75" s="3">
        <v>45926</v>
      </c>
      <c r="B75" s="4">
        <v>0.625</v>
      </c>
      <c r="C75" t="s">
        <v>26</v>
      </c>
      <c r="D75" t="e">
        <f>IF(COUNTIF(#REF!,"&lt;&gt;NAN")=0, 0, IF(AND(OR(#REF!=#REF!,#REF!="NAN"), OR(#REF!=#REF!,#REF!="NAN"), OR(#REF!=#REF!,#REF!="NAN")),#REF!, 0))</f>
        <v>#REF!</v>
      </c>
      <c r="E75" t="e">
        <f>IF(#REF!="NAN","",IF(
   AND(OR(#REF!=#REF!,#REF!="NAN"),
     OR(#REF!=#REF!,#REF!="NAN"),
     OR(#REF!=#REF!,#REF!="NAN")),
   1,
   0))</f>
        <v>#REF!</v>
      </c>
      <c r="G75" t="e">
        <f>IF(OR(#REF!="UP",#REF!="DOWN"),1,0)</f>
        <v>#REF!</v>
      </c>
      <c r="H75" t="e">
        <f>IF(OR(#REF!="UP",#REF!="DOWN"),1,0)</f>
        <v>#REF!</v>
      </c>
      <c r="I75" t="e">
        <f>IF(OR(#REF!="UP",#REF!="DOWN"),1,0)</f>
        <v>#REF!</v>
      </c>
      <c r="M75" t="e">
        <f>IF(OR(#REF!="UP",#REF!="DOWN"),1,1)</f>
        <v>#REF!</v>
      </c>
      <c r="N75" t="e">
        <f>IF(OR(#REF!="UP",#REF!="DOWN"),VLOOKUP($C75,Configuración!$H$2:$K$11,3),1)</f>
        <v>#REF!</v>
      </c>
      <c r="O75" t="e">
        <f>IF(OR(#REF!="UP",#REF!="DOWN"),VLOOKUP($C75,Configuración!$H$2:$K$11,4),1)</f>
        <v>#REF!</v>
      </c>
      <c r="P75" t="e">
        <f t="shared" si="10"/>
        <v>#REF!</v>
      </c>
      <c r="Q75" t="e">
        <f t="shared" si="11"/>
        <v>#REF!</v>
      </c>
      <c r="R75" t="e">
        <f t="shared" si="12"/>
        <v>#REF!</v>
      </c>
      <c r="T75" t="e">
        <f>IF(R75&lt;&gt;0,Configuración!$E$2,0)</f>
        <v>#REF!</v>
      </c>
      <c r="U75" t="e">
        <f>IF(R75&lt;&gt;0,Configuración!$F$2,0)</f>
        <v>#REF!</v>
      </c>
      <c r="V75" t="e">
        <f>IF(R75&lt;&gt;0,Configuración!$G$2,0)</f>
        <v>#REF!</v>
      </c>
      <c r="W75" t="e">
        <f t="shared" si="13"/>
        <v>#REF!</v>
      </c>
      <c r="X75" t="e">
        <f t="shared" si="14"/>
        <v>#REF!</v>
      </c>
      <c r="Z75" t="e">
        <f t="shared" si="15"/>
        <v>#REF!</v>
      </c>
      <c r="AB75" t="e">
        <f t="shared" si="16"/>
        <v>#REF!</v>
      </c>
      <c r="AG75" t="e">
        <f t="shared" si="17"/>
        <v>#REF!</v>
      </c>
      <c r="AH75" s="5" t="e">
        <f t="shared" si="18"/>
        <v>#REF!</v>
      </c>
      <c r="AI75" t="e">
        <f t="shared" si="19"/>
        <v>#REF!</v>
      </c>
    </row>
    <row r="76" spans="1:37" x14ac:dyDescent="0.55000000000000004">
      <c r="A76" s="3">
        <v>45926</v>
      </c>
      <c r="B76" s="4">
        <v>0.625</v>
      </c>
      <c r="C76" t="s">
        <v>33</v>
      </c>
      <c r="D76" t="e">
        <f>IF(COUNTIF(#REF!,"&lt;&gt;NAN")=0, 0, IF(AND(OR(#REF!=#REF!,#REF!="NAN"), OR(#REF!=#REF!,#REF!="NAN"), OR(#REF!=#REF!,#REF!="NAN")),#REF!, 0))</f>
        <v>#REF!</v>
      </c>
      <c r="E76" t="e">
        <f>IF(#REF!="NAN","",IF(
   AND(OR(#REF!=#REF!,#REF!="NAN"),
     OR(#REF!=#REF!,#REF!="NAN"),
     OR(#REF!=#REF!,#REF!="NAN")),
   1,
   0))</f>
        <v>#REF!</v>
      </c>
      <c r="G76" t="e">
        <f>IF(OR(#REF!="UP",#REF!="DOWN"),1,0)</f>
        <v>#REF!</v>
      </c>
      <c r="H76" t="e">
        <f>IF(OR(#REF!="UP",#REF!="DOWN"),1,0)</f>
        <v>#REF!</v>
      </c>
      <c r="I76" t="e">
        <f>IF(OR(#REF!="UP",#REF!="DOWN"),1,0)</f>
        <v>#REF!</v>
      </c>
      <c r="M76" t="e">
        <f>IF(OR(#REF!="UP",#REF!="DOWN"),1,1)</f>
        <v>#REF!</v>
      </c>
      <c r="N76" t="e">
        <f>IF(OR(#REF!="UP",#REF!="DOWN"),VLOOKUP($C76,Configuración!$H$2:$K$11,3),1)</f>
        <v>#REF!</v>
      </c>
      <c r="O76" t="e">
        <f>IF(OR(#REF!="UP",#REF!="DOWN"),VLOOKUP($C76,Configuración!$H$2:$K$11,4),1)</f>
        <v>#REF!</v>
      </c>
      <c r="P76" t="e">
        <f t="shared" si="10"/>
        <v>#REF!</v>
      </c>
      <c r="Q76" t="e">
        <f t="shared" si="11"/>
        <v>#REF!</v>
      </c>
      <c r="R76" t="e">
        <f t="shared" si="12"/>
        <v>#REF!</v>
      </c>
      <c r="T76" t="e">
        <f>IF(R76&lt;&gt;0,Configuración!$E$2,0)</f>
        <v>#REF!</v>
      </c>
      <c r="U76" t="e">
        <f>IF(R76&lt;&gt;0,Configuración!$F$2,0)</f>
        <v>#REF!</v>
      </c>
      <c r="V76" t="e">
        <f>IF(R76&lt;&gt;0,Configuración!$G$2,0)</f>
        <v>#REF!</v>
      </c>
      <c r="W76" t="e">
        <f t="shared" si="13"/>
        <v>#REF!</v>
      </c>
      <c r="X76" t="e">
        <f t="shared" si="14"/>
        <v>#REF!</v>
      </c>
      <c r="Z76" t="e">
        <f t="shared" si="15"/>
        <v>#REF!</v>
      </c>
      <c r="AB76" t="e">
        <f t="shared" si="16"/>
        <v>#REF!</v>
      </c>
      <c r="AG76" t="e">
        <f t="shared" si="17"/>
        <v>#REF!</v>
      </c>
      <c r="AH76" s="5" t="e">
        <f t="shared" si="18"/>
        <v>#REF!</v>
      </c>
      <c r="AI76" t="e">
        <f t="shared" si="19"/>
        <v>#REF!</v>
      </c>
    </row>
    <row r="77" spans="1:37" x14ac:dyDescent="0.55000000000000004">
      <c r="A77" s="3">
        <v>45926</v>
      </c>
      <c r="B77" s="4">
        <v>0.625</v>
      </c>
      <c r="C77" t="s">
        <v>35</v>
      </c>
      <c r="D77" t="e">
        <f>IF(COUNTIF(#REF!,"&lt;&gt;NAN")=0, 0, IF(AND(OR(#REF!=#REF!,#REF!="NAN"), OR(#REF!=#REF!,#REF!="NAN"), OR(#REF!=#REF!,#REF!="NAN")),#REF!, 0))</f>
        <v>#REF!</v>
      </c>
      <c r="E77" t="e">
        <f>IF(#REF!="NAN","",IF(
   AND(OR(#REF!=#REF!,#REF!="NAN"),
     OR(#REF!=#REF!,#REF!="NAN"),
     OR(#REF!=#REF!,#REF!="NAN")),
   1,
   0))</f>
        <v>#REF!</v>
      </c>
      <c r="G77" t="e">
        <f>IF(OR(#REF!="UP",#REF!="DOWN"),1,0)</f>
        <v>#REF!</v>
      </c>
      <c r="H77" t="e">
        <f>IF(OR(#REF!="UP",#REF!="DOWN"),1,0)</f>
        <v>#REF!</v>
      </c>
      <c r="I77" t="e">
        <f>IF(OR(#REF!="UP",#REF!="DOWN"),1,0)</f>
        <v>#REF!</v>
      </c>
      <c r="M77" t="e">
        <f>IF(OR(#REF!="UP",#REF!="DOWN"),1,1)</f>
        <v>#REF!</v>
      </c>
      <c r="N77" t="e">
        <f>IF(OR(#REF!="UP",#REF!="DOWN"),VLOOKUP($C77,Configuración!$H$2:$K$11,3),1)</f>
        <v>#REF!</v>
      </c>
      <c r="O77" t="e">
        <f>IF(OR(#REF!="UP",#REF!="DOWN"),VLOOKUP($C77,Configuración!$H$2:$K$11,4),1)</f>
        <v>#REF!</v>
      </c>
      <c r="P77" t="e">
        <f t="shared" si="10"/>
        <v>#REF!</v>
      </c>
      <c r="Q77" t="e">
        <f t="shared" ref="Q77:Q131" si="20">P77*E77</f>
        <v>#REF!</v>
      </c>
      <c r="R77" t="e">
        <f t="shared" si="12"/>
        <v>#REF!</v>
      </c>
      <c r="T77" t="e">
        <f>IF(R77&lt;&gt;0,Configuración!$E$2,0)</f>
        <v>#REF!</v>
      </c>
      <c r="U77" t="e">
        <f>IF(R77&lt;&gt;0,Configuración!$F$2,0)</f>
        <v>#REF!</v>
      </c>
      <c r="V77" t="e">
        <f>IF(R77&lt;&gt;0,Configuración!$G$2,0)</f>
        <v>#REF!</v>
      </c>
      <c r="W77" t="e">
        <f t="shared" si="13"/>
        <v>#REF!</v>
      </c>
      <c r="X77" t="e">
        <f t="shared" si="14"/>
        <v>#REF!</v>
      </c>
      <c r="Z77" t="e">
        <f t="shared" si="15"/>
        <v>#REF!</v>
      </c>
      <c r="AB77" t="e">
        <f t="shared" si="16"/>
        <v>#REF!</v>
      </c>
      <c r="AG77" t="e">
        <f t="shared" si="17"/>
        <v>#REF!</v>
      </c>
      <c r="AH77" s="5" t="e">
        <f t="shared" si="18"/>
        <v>#REF!</v>
      </c>
      <c r="AI77" t="e">
        <f t="shared" si="19"/>
        <v>#REF!</v>
      </c>
    </row>
    <row r="78" spans="1:37" x14ac:dyDescent="0.55000000000000004">
      <c r="A78" s="3">
        <v>45926</v>
      </c>
      <c r="B78" s="4">
        <v>0.625</v>
      </c>
      <c r="C78" t="s">
        <v>34</v>
      </c>
      <c r="D78" t="e">
        <f>IF(COUNTIF(#REF!,"&lt;&gt;NAN")=0, 0, IF(AND(OR(#REF!=#REF!,#REF!="NAN"), OR(#REF!=#REF!,#REF!="NAN"), OR(#REF!=#REF!,#REF!="NAN")),#REF!, 0))</f>
        <v>#REF!</v>
      </c>
      <c r="E78" t="e">
        <f>IF(#REF!="NAN","",IF(
   AND(OR(#REF!=#REF!,#REF!="NAN"),
     OR(#REF!=#REF!,#REF!="NAN"),
     OR(#REF!=#REF!,#REF!="NAN")),
   1,
   0))</f>
        <v>#REF!</v>
      </c>
      <c r="G78" t="e">
        <f>IF(OR(#REF!="UP",#REF!="DOWN"),1,0)</f>
        <v>#REF!</v>
      </c>
      <c r="H78" t="e">
        <f>IF(OR(#REF!="UP",#REF!="DOWN"),1,0)</f>
        <v>#REF!</v>
      </c>
      <c r="I78" t="e">
        <f>IF(OR(#REF!="UP",#REF!="DOWN"),1,0)</f>
        <v>#REF!</v>
      </c>
      <c r="M78" t="e">
        <f>IF(OR(#REF!="UP",#REF!="DOWN"),1,1)</f>
        <v>#REF!</v>
      </c>
      <c r="N78" t="e">
        <f>IF(OR(#REF!="UP",#REF!="DOWN"),VLOOKUP($C78,Configuración!$H$2:$K$11,3),1)</f>
        <v>#REF!</v>
      </c>
      <c r="O78" t="e">
        <f>IF(OR(#REF!="UP",#REF!="DOWN"),VLOOKUP($C78,Configuración!$H$2:$K$11,4),1)</f>
        <v>#REF!</v>
      </c>
      <c r="P78" t="e">
        <f t="shared" si="10"/>
        <v>#REF!</v>
      </c>
      <c r="Q78" t="e">
        <f t="shared" si="20"/>
        <v>#REF!</v>
      </c>
      <c r="R78" t="e">
        <f t="shared" si="12"/>
        <v>#REF!</v>
      </c>
      <c r="T78" t="e">
        <f>IF(R78&lt;&gt;0,Configuración!$E$2,0)</f>
        <v>#REF!</v>
      </c>
      <c r="U78" t="e">
        <f>IF(R78&lt;&gt;0,Configuración!$F$2,0)</f>
        <v>#REF!</v>
      </c>
      <c r="V78" t="e">
        <f>IF(R78&lt;&gt;0,Configuración!$G$2,0)</f>
        <v>#REF!</v>
      </c>
      <c r="W78" t="e">
        <f t="shared" si="13"/>
        <v>#REF!</v>
      </c>
      <c r="X78" t="e">
        <f t="shared" si="14"/>
        <v>#REF!</v>
      </c>
      <c r="Z78" t="e">
        <f t="shared" si="15"/>
        <v>#REF!</v>
      </c>
      <c r="AB78" t="e">
        <f t="shared" si="16"/>
        <v>#REF!</v>
      </c>
      <c r="AG78" t="e">
        <f t="shared" si="17"/>
        <v>#REF!</v>
      </c>
      <c r="AH78" s="5" t="e">
        <f t="shared" si="18"/>
        <v>#REF!</v>
      </c>
      <c r="AI78" t="e">
        <f t="shared" si="19"/>
        <v>#REF!</v>
      </c>
    </row>
    <row r="79" spans="1:37" x14ac:dyDescent="0.55000000000000004">
      <c r="A79" s="3">
        <v>45926</v>
      </c>
      <c r="B79" s="4">
        <v>0.625</v>
      </c>
      <c r="C79" t="s">
        <v>27</v>
      </c>
      <c r="D79" t="e">
        <f>IF(COUNTIF(#REF!,"&lt;&gt;NAN")=0, 0, IF(AND(OR(#REF!=#REF!,#REF!="NAN"), OR(#REF!=#REF!,#REF!="NAN"), OR(#REF!=#REF!,#REF!="NAN")),#REF!, 0))</f>
        <v>#REF!</v>
      </c>
      <c r="E79" t="e">
        <f>IF(#REF!="NAN","",IF(
   AND(OR(#REF!=#REF!,#REF!="NAN"),
     OR(#REF!=#REF!,#REF!="NAN"),
     OR(#REF!=#REF!,#REF!="NAN")),
   1,
   0))</f>
        <v>#REF!</v>
      </c>
      <c r="G79" t="e">
        <f>IF(OR(#REF!="UP",#REF!="DOWN"),1,0)</f>
        <v>#REF!</v>
      </c>
      <c r="H79" t="e">
        <f>IF(OR(#REF!="UP",#REF!="DOWN"),1,0)</f>
        <v>#REF!</v>
      </c>
      <c r="I79" t="e">
        <f>IF(OR(#REF!="UP",#REF!="DOWN"),1,0)</f>
        <v>#REF!</v>
      </c>
      <c r="M79" t="e">
        <f>IF(OR(#REF!="UP",#REF!="DOWN"),1,1)</f>
        <v>#REF!</v>
      </c>
      <c r="N79" t="e">
        <f>IF(OR(#REF!="UP",#REF!="DOWN"),VLOOKUP($C79,Configuración!$H$2:$K$11,3),1)</f>
        <v>#REF!</v>
      </c>
      <c r="O79" t="e">
        <f>IF(OR(#REF!="UP",#REF!="DOWN"),VLOOKUP($C79,Configuración!$H$2:$K$11,4),1)</f>
        <v>#REF!</v>
      </c>
      <c r="P79" t="e">
        <f t="shared" si="10"/>
        <v>#REF!</v>
      </c>
      <c r="Q79" t="e">
        <f t="shared" si="20"/>
        <v>#REF!</v>
      </c>
      <c r="R79" t="e">
        <f t="shared" si="12"/>
        <v>#REF!</v>
      </c>
      <c r="T79" t="e">
        <f>IF(R79&lt;&gt;0,Configuración!$E$2,0)</f>
        <v>#REF!</v>
      </c>
      <c r="U79" t="e">
        <f>IF(R79&lt;&gt;0,Configuración!$F$2,0)</f>
        <v>#REF!</v>
      </c>
      <c r="V79" t="e">
        <f>IF(R79&lt;&gt;0,Configuración!$G$2,0)</f>
        <v>#REF!</v>
      </c>
      <c r="W79" t="e">
        <f t="shared" si="13"/>
        <v>#REF!</v>
      </c>
      <c r="X79" t="e">
        <f t="shared" si="14"/>
        <v>#REF!</v>
      </c>
      <c r="Z79" t="e">
        <f t="shared" si="15"/>
        <v>#REF!</v>
      </c>
      <c r="AB79" t="e">
        <f t="shared" si="16"/>
        <v>#REF!</v>
      </c>
      <c r="AG79" t="e">
        <f t="shared" si="17"/>
        <v>#REF!</v>
      </c>
      <c r="AH79" s="5" t="e">
        <f t="shared" si="18"/>
        <v>#REF!</v>
      </c>
      <c r="AI79" t="e">
        <f t="shared" si="19"/>
        <v>#REF!</v>
      </c>
    </row>
    <row r="80" spans="1:37" x14ac:dyDescent="0.55000000000000004">
      <c r="A80" s="3">
        <v>45926</v>
      </c>
      <c r="B80" s="4">
        <v>0.625</v>
      </c>
      <c r="C80" t="s">
        <v>28</v>
      </c>
      <c r="D80" t="e">
        <f>IF(COUNTIF(#REF!,"&lt;&gt;NAN")=0, 0, IF(AND(OR(#REF!=#REF!,#REF!="NAN"), OR(#REF!=#REF!,#REF!="NAN"), OR(#REF!=#REF!,#REF!="NAN")),#REF!, 0))</f>
        <v>#REF!</v>
      </c>
      <c r="E80" t="e">
        <f>IF(#REF!="NAN","",IF(
   AND(OR(#REF!=#REF!,#REF!="NAN"),
     OR(#REF!=#REF!,#REF!="NAN"),
     OR(#REF!=#REF!,#REF!="NAN")),
   1,
   0))</f>
        <v>#REF!</v>
      </c>
      <c r="G80" t="e">
        <f>IF(OR(#REF!="UP",#REF!="DOWN"),1,0)</f>
        <v>#REF!</v>
      </c>
      <c r="H80" t="e">
        <f>IF(OR(#REF!="UP",#REF!="DOWN"),1,0)</f>
        <v>#REF!</v>
      </c>
      <c r="I80" t="e">
        <f>IF(OR(#REF!="UP",#REF!="DOWN"),1,0)</f>
        <v>#REF!</v>
      </c>
      <c r="M80" t="e">
        <f>IF(OR(#REF!="UP",#REF!="DOWN"),1,1)</f>
        <v>#REF!</v>
      </c>
      <c r="N80" t="e">
        <f>IF(OR(#REF!="UP",#REF!="DOWN"),VLOOKUP($C80,Configuración!$H$2:$K$11,3),1)</f>
        <v>#REF!</v>
      </c>
      <c r="O80" t="e">
        <f>IF(OR(#REF!="UP",#REF!="DOWN"),VLOOKUP($C80,Configuración!$H$2:$K$11,4),1)</f>
        <v>#REF!</v>
      </c>
      <c r="P80" t="e">
        <f t="shared" si="10"/>
        <v>#REF!</v>
      </c>
      <c r="Q80" t="e">
        <f t="shared" si="20"/>
        <v>#REF!</v>
      </c>
      <c r="R80" t="e">
        <f t="shared" si="12"/>
        <v>#REF!</v>
      </c>
      <c r="T80" t="e">
        <f>IF(R80&lt;&gt;0,Configuración!$E$2,0)</f>
        <v>#REF!</v>
      </c>
      <c r="U80" t="e">
        <f>IF(R80&lt;&gt;0,Configuración!$F$2,0)</f>
        <v>#REF!</v>
      </c>
      <c r="V80" t="e">
        <f>IF(R80&lt;&gt;0,Configuración!$G$2,0)</f>
        <v>#REF!</v>
      </c>
      <c r="W80" t="e">
        <f t="shared" si="13"/>
        <v>#REF!</v>
      </c>
      <c r="X80" t="e">
        <f t="shared" si="14"/>
        <v>#REF!</v>
      </c>
      <c r="Z80" t="e">
        <f t="shared" si="15"/>
        <v>#REF!</v>
      </c>
      <c r="AB80" t="e">
        <f t="shared" si="16"/>
        <v>#REF!</v>
      </c>
      <c r="AG80" t="e">
        <f t="shared" si="17"/>
        <v>#REF!</v>
      </c>
      <c r="AH80" s="5" t="e">
        <f t="shared" si="18"/>
        <v>#REF!</v>
      </c>
      <c r="AI80" t="e">
        <f t="shared" si="19"/>
        <v>#REF!</v>
      </c>
    </row>
    <row r="81" spans="1:35" x14ac:dyDescent="0.55000000000000004">
      <c r="A81" s="3">
        <v>45926</v>
      </c>
      <c r="B81" s="4">
        <v>0.625</v>
      </c>
      <c r="C81" t="s">
        <v>30</v>
      </c>
      <c r="D81" t="e">
        <f>IF(COUNTIF(#REF!,"&lt;&gt;NAN")=0, 0, IF(AND(OR(#REF!=#REF!,#REF!="NAN"), OR(#REF!=#REF!,#REF!="NAN"), OR(#REF!=#REF!,#REF!="NAN")),#REF!, 0))</f>
        <v>#REF!</v>
      </c>
      <c r="E81" t="e">
        <f>IF(#REF!="NAN","",IF(
   AND(OR(#REF!=#REF!,#REF!="NAN"),
     OR(#REF!=#REF!,#REF!="NAN"),
     OR(#REF!=#REF!,#REF!="NAN")),
   1,
   0))</f>
        <v>#REF!</v>
      </c>
      <c r="G81" t="e">
        <f>IF(OR(#REF!="UP",#REF!="DOWN"),1,0)</f>
        <v>#REF!</v>
      </c>
      <c r="H81" t="e">
        <f>IF(OR(#REF!="UP",#REF!="DOWN"),1,0)</f>
        <v>#REF!</v>
      </c>
      <c r="I81" t="e">
        <f>IF(OR(#REF!="UP",#REF!="DOWN"),1,0)</f>
        <v>#REF!</v>
      </c>
      <c r="M81" t="e">
        <f>IF(OR(#REF!="UP",#REF!="DOWN"),1,1)</f>
        <v>#REF!</v>
      </c>
      <c r="N81" t="e">
        <f>IF(OR(#REF!="UP",#REF!="DOWN"),VLOOKUP($C81,Configuración!$H$2:$K$11,3),1)</f>
        <v>#REF!</v>
      </c>
      <c r="O81" t="e">
        <f>IF(OR(#REF!="UP",#REF!="DOWN"),VLOOKUP($C81,Configuración!$H$2:$K$11,4),1)</f>
        <v>#REF!</v>
      </c>
      <c r="P81" t="e">
        <f t="shared" si="10"/>
        <v>#REF!</v>
      </c>
      <c r="Q81" t="e">
        <f t="shared" si="20"/>
        <v>#REF!</v>
      </c>
      <c r="R81" t="e">
        <f t="shared" si="12"/>
        <v>#REF!</v>
      </c>
      <c r="T81" t="e">
        <f>IF(R81&lt;&gt;0,Configuración!$E$2,0)</f>
        <v>#REF!</v>
      </c>
      <c r="U81" t="e">
        <f>IF(R81&lt;&gt;0,Configuración!$F$2,0)</f>
        <v>#REF!</v>
      </c>
      <c r="V81" t="e">
        <f>IF(R81&lt;&gt;0,Configuración!$G$2,0)</f>
        <v>#REF!</v>
      </c>
      <c r="W81" t="e">
        <f t="shared" si="13"/>
        <v>#REF!</v>
      </c>
      <c r="X81" t="e">
        <f t="shared" si="14"/>
        <v>#REF!</v>
      </c>
      <c r="Z81" t="e">
        <f t="shared" si="15"/>
        <v>#REF!</v>
      </c>
      <c r="AB81" t="e">
        <f t="shared" si="16"/>
        <v>#REF!</v>
      </c>
      <c r="AG81" t="e">
        <f t="shared" si="17"/>
        <v>#REF!</v>
      </c>
      <c r="AH81" s="5" t="e">
        <f t="shared" si="18"/>
        <v>#REF!</v>
      </c>
      <c r="AI81" t="e">
        <f t="shared" si="19"/>
        <v>#REF!</v>
      </c>
    </row>
    <row r="82" spans="1:35" x14ac:dyDescent="0.55000000000000004">
      <c r="A82" s="3">
        <v>45926</v>
      </c>
      <c r="B82" s="4">
        <v>0.625</v>
      </c>
      <c r="C82" t="s">
        <v>29</v>
      </c>
      <c r="D82" t="e">
        <f>IF(COUNTIF(#REF!,"&lt;&gt;NAN")=0, 0, IF(AND(OR(#REF!=#REF!,#REF!="NAN"), OR(#REF!=#REF!,#REF!="NAN"), OR(#REF!=#REF!,#REF!="NAN")),#REF!, 0))</f>
        <v>#REF!</v>
      </c>
      <c r="E82" t="e">
        <f>IF(#REF!="NAN","",IF(
   AND(OR(#REF!=#REF!,#REF!="NAN"),
     OR(#REF!=#REF!,#REF!="NAN"),
     OR(#REF!=#REF!,#REF!="NAN")),
   1,
   0))</f>
        <v>#REF!</v>
      </c>
      <c r="G82" t="e">
        <f>IF(OR(#REF!="UP",#REF!="DOWN"),1,0)</f>
        <v>#REF!</v>
      </c>
      <c r="H82" t="e">
        <f>IF(OR(#REF!="UP",#REF!="DOWN"),1,0)</f>
        <v>#REF!</v>
      </c>
      <c r="I82" t="e">
        <f>IF(OR(#REF!="UP",#REF!="DOWN"),1,0)</f>
        <v>#REF!</v>
      </c>
      <c r="M82" t="e">
        <f>IF(OR(#REF!="UP",#REF!="DOWN"),1,1)</f>
        <v>#REF!</v>
      </c>
      <c r="N82" t="e">
        <f>IF(OR(#REF!="UP",#REF!="DOWN"),VLOOKUP($C82,Configuración!$H$2:$K$11,3),1)</f>
        <v>#REF!</v>
      </c>
      <c r="O82" t="e">
        <f>IF(OR(#REF!="UP",#REF!="DOWN"),VLOOKUP($C82,Configuración!$H$2:$K$11,4),1)</f>
        <v>#REF!</v>
      </c>
      <c r="P82" t="e">
        <f t="shared" si="10"/>
        <v>#REF!</v>
      </c>
      <c r="Q82" t="e">
        <f t="shared" si="20"/>
        <v>#REF!</v>
      </c>
      <c r="R82" t="e">
        <f t="shared" si="12"/>
        <v>#REF!</v>
      </c>
      <c r="T82" t="e">
        <f>IF(R82&lt;&gt;0,Configuración!$E$2,0)</f>
        <v>#REF!</v>
      </c>
      <c r="U82" t="e">
        <f>IF(R82&lt;&gt;0,Configuración!$F$2,0)</f>
        <v>#REF!</v>
      </c>
      <c r="V82" t="e">
        <f>IF(R82&lt;&gt;0,Configuración!$G$2,0)</f>
        <v>#REF!</v>
      </c>
      <c r="W82" t="e">
        <f t="shared" si="13"/>
        <v>#REF!</v>
      </c>
      <c r="X82" t="e">
        <f t="shared" si="14"/>
        <v>#REF!</v>
      </c>
      <c r="Z82" t="e">
        <f t="shared" si="15"/>
        <v>#REF!</v>
      </c>
      <c r="AB82" t="e">
        <f t="shared" si="16"/>
        <v>#REF!</v>
      </c>
      <c r="AG82" t="e">
        <f t="shared" si="17"/>
        <v>#REF!</v>
      </c>
      <c r="AH82" s="5" t="e">
        <f t="shared" si="18"/>
        <v>#REF!</v>
      </c>
      <c r="AI82" t="e">
        <f t="shared" si="19"/>
        <v>#REF!</v>
      </c>
    </row>
    <row r="83" spans="1:35" x14ac:dyDescent="0.55000000000000004">
      <c r="A83" s="3">
        <v>45926</v>
      </c>
      <c r="B83" s="4">
        <v>0.625</v>
      </c>
      <c r="C83" t="s">
        <v>31</v>
      </c>
      <c r="D83" t="e">
        <f>IF(COUNTIF(#REF!,"&lt;&gt;NAN")=0, 0, IF(AND(OR(#REF!=#REF!,#REF!="NAN"), OR(#REF!=#REF!,#REF!="NAN"), OR(#REF!=#REF!,#REF!="NAN")),#REF!, 0))</f>
        <v>#REF!</v>
      </c>
      <c r="E83" t="e">
        <f>IF(#REF!="NAN","",IF(
   AND(OR(#REF!=#REF!,#REF!="NAN"),
     OR(#REF!=#REF!,#REF!="NAN"),
     OR(#REF!=#REF!,#REF!="NAN")),
   1,
   0))</f>
        <v>#REF!</v>
      </c>
      <c r="G83" t="e">
        <f>IF(OR(#REF!="UP",#REF!="DOWN"),1,0)</f>
        <v>#REF!</v>
      </c>
      <c r="H83" t="e">
        <f>IF(OR(#REF!="UP",#REF!="DOWN"),1,0)</f>
        <v>#REF!</v>
      </c>
      <c r="I83" t="e">
        <f>IF(OR(#REF!="UP",#REF!="DOWN"),1,0)</f>
        <v>#REF!</v>
      </c>
      <c r="M83" t="e">
        <f>IF(OR(#REF!="UP",#REF!="DOWN"),1,1)</f>
        <v>#REF!</v>
      </c>
      <c r="N83" t="e">
        <f>IF(OR(#REF!="UP",#REF!="DOWN"),VLOOKUP($C83,Configuración!$H$2:$K$11,3),1)</f>
        <v>#REF!</v>
      </c>
      <c r="O83" t="e">
        <f>IF(OR(#REF!="UP",#REF!="DOWN"),VLOOKUP($C83,Configuración!$H$2:$K$11,4),1)</f>
        <v>#REF!</v>
      </c>
      <c r="P83" t="e">
        <f t="shared" si="10"/>
        <v>#REF!</v>
      </c>
      <c r="Q83" t="e">
        <f t="shared" si="20"/>
        <v>#REF!</v>
      </c>
      <c r="R83" t="e">
        <f t="shared" si="12"/>
        <v>#REF!</v>
      </c>
      <c r="T83" t="e">
        <f>IF(R83&lt;&gt;0,Configuración!$E$2,0)</f>
        <v>#REF!</v>
      </c>
      <c r="U83" t="e">
        <f>IF(R83&lt;&gt;0,Configuración!$F$2,0)</f>
        <v>#REF!</v>
      </c>
      <c r="V83" t="e">
        <f>IF(R83&lt;&gt;0,Configuración!$G$2,0)</f>
        <v>#REF!</v>
      </c>
      <c r="W83" t="e">
        <f t="shared" si="13"/>
        <v>#REF!</v>
      </c>
      <c r="X83" t="e">
        <f t="shared" si="14"/>
        <v>#REF!</v>
      </c>
      <c r="Z83" t="e">
        <f t="shared" si="15"/>
        <v>#REF!</v>
      </c>
      <c r="AB83" t="e">
        <f t="shared" si="16"/>
        <v>#REF!</v>
      </c>
      <c r="AG83" t="e">
        <f t="shared" si="17"/>
        <v>#REF!</v>
      </c>
      <c r="AH83" s="5" t="e">
        <f t="shared" si="18"/>
        <v>#REF!</v>
      </c>
      <c r="AI83" t="e">
        <f t="shared" si="19"/>
        <v>#REF!</v>
      </c>
    </row>
    <row r="84" spans="1:35" x14ac:dyDescent="0.55000000000000004">
      <c r="A84" s="3">
        <v>45929</v>
      </c>
      <c r="B84" s="4">
        <v>0.625</v>
      </c>
      <c r="C84" t="s">
        <v>32</v>
      </c>
      <c r="D84" t="e">
        <f>IF(COUNTIF(#REF!,"&lt;&gt;NAN")=0, 0, IF(AND(OR(#REF!=#REF!,#REF!="NAN"), OR(#REF!=#REF!,#REF!="NAN"), OR(#REF!=#REF!,#REF!="NAN")),#REF!, 0))</f>
        <v>#REF!</v>
      </c>
      <c r="E84" t="e">
        <f>IF(#REF!="NAN","",IF(
   AND(OR(#REF!=#REF!,#REF!="NAN"),
     OR(#REF!=#REF!,#REF!="NAN"),
     OR(#REF!=#REF!,#REF!="NAN")),
   1,
   0))</f>
        <v>#REF!</v>
      </c>
      <c r="G84" t="e">
        <f>IF(OR(#REF!="UP",#REF!="DOWN"),1,0)</f>
        <v>#REF!</v>
      </c>
      <c r="H84" t="e">
        <f>IF(OR(#REF!="UP",#REF!="DOWN"),1,0)</f>
        <v>#REF!</v>
      </c>
      <c r="I84" t="e">
        <f>IF(OR(#REF!="UP",#REF!="DOWN"),1,0)</f>
        <v>#REF!</v>
      </c>
      <c r="M84" t="e">
        <f>IF(OR(#REF!="UP",#REF!="DOWN"),1,1)</f>
        <v>#REF!</v>
      </c>
      <c r="N84" t="e">
        <f>IF(OR(#REF!="UP",#REF!="DOWN"),VLOOKUP($C84,Configuración!$H$2:$K$11,3),1)</f>
        <v>#REF!</v>
      </c>
      <c r="O84" t="e">
        <f>IF(OR(#REF!="UP",#REF!="DOWN"),VLOOKUP($C84,Configuración!$H$2:$K$11,4),1)</f>
        <v>#REF!</v>
      </c>
      <c r="P84" t="e">
        <f t="shared" si="10"/>
        <v>#REF!</v>
      </c>
      <c r="Q84" t="e">
        <f t="shared" si="20"/>
        <v>#REF!</v>
      </c>
      <c r="R84" t="e">
        <f t="shared" si="12"/>
        <v>#REF!</v>
      </c>
      <c r="T84" t="e">
        <f>IF(R84&lt;&gt;0,Configuración!$E$2,0)</f>
        <v>#REF!</v>
      </c>
      <c r="U84" t="e">
        <f>IF(R84&lt;&gt;0,Configuración!$F$2,0)</f>
        <v>#REF!</v>
      </c>
      <c r="V84" t="e">
        <f>IF(R84&lt;&gt;0,Configuración!$G$2,0)</f>
        <v>#REF!</v>
      </c>
      <c r="W84" t="e">
        <f t="shared" si="13"/>
        <v>#REF!</v>
      </c>
      <c r="X84" t="e">
        <f t="shared" si="14"/>
        <v>#REF!</v>
      </c>
      <c r="Z84" t="e">
        <f t="shared" si="15"/>
        <v>#REF!</v>
      </c>
      <c r="AB84" t="e">
        <f t="shared" si="16"/>
        <v>#REF!</v>
      </c>
      <c r="AG84" t="e">
        <f t="shared" si="17"/>
        <v>#REF!</v>
      </c>
      <c r="AH84" s="5" t="e">
        <f t="shared" si="18"/>
        <v>#REF!</v>
      </c>
      <c r="AI84" t="e">
        <f t="shared" si="19"/>
        <v>#REF!</v>
      </c>
    </row>
    <row r="85" spans="1:35" x14ac:dyDescent="0.55000000000000004">
      <c r="A85" s="3">
        <v>45929</v>
      </c>
      <c r="B85" s="4">
        <v>0.625</v>
      </c>
      <c r="C85" t="s">
        <v>26</v>
      </c>
      <c r="D85" t="e">
        <f>IF(COUNTIF(#REF!,"&lt;&gt;NAN")=0, 0, IF(AND(OR(#REF!=#REF!,#REF!="NAN"), OR(#REF!=#REF!,#REF!="NAN"), OR(#REF!=#REF!,#REF!="NAN")),#REF!, 0))</f>
        <v>#REF!</v>
      </c>
      <c r="E85" t="e">
        <f>IF(#REF!="NAN","",IF(
   AND(OR(#REF!=#REF!,#REF!="NAN"),
     OR(#REF!=#REF!,#REF!="NAN"),
     OR(#REF!=#REF!,#REF!="NAN")),
   1,
   0))</f>
        <v>#REF!</v>
      </c>
      <c r="G85" t="e">
        <f>IF(OR(#REF!="UP",#REF!="DOWN"),1,0)</f>
        <v>#REF!</v>
      </c>
      <c r="H85" t="e">
        <f>IF(OR(#REF!="UP",#REF!="DOWN"),1,0)</f>
        <v>#REF!</v>
      </c>
      <c r="I85" t="e">
        <f>IF(OR(#REF!="UP",#REF!="DOWN"),1,0)</f>
        <v>#REF!</v>
      </c>
      <c r="M85" t="e">
        <f>IF(OR(#REF!="UP",#REF!="DOWN"),1,1)</f>
        <v>#REF!</v>
      </c>
      <c r="N85" t="e">
        <f>IF(OR(#REF!="UP",#REF!="DOWN"),VLOOKUP($C85,Configuración!$H$2:$K$11,3),1)</f>
        <v>#REF!</v>
      </c>
      <c r="O85" t="e">
        <f>IF(OR(#REF!="UP",#REF!="DOWN"),VLOOKUP($C85,Configuración!$H$2:$K$11,4),1)</f>
        <v>#REF!</v>
      </c>
      <c r="P85" t="e">
        <f t="shared" si="10"/>
        <v>#REF!</v>
      </c>
      <c r="Q85" t="e">
        <f t="shared" si="20"/>
        <v>#REF!</v>
      </c>
      <c r="R85" t="e">
        <f t="shared" si="12"/>
        <v>#REF!</v>
      </c>
      <c r="T85" t="e">
        <f>IF(R85&lt;&gt;0,Configuración!$E$2,0)</f>
        <v>#REF!</v>
      </c>
      <c r="U85" t="e">
        <f>IF(R85&lt;&gt;0,Configuración!$F$2,0)</f>
        <v>#REF!</v>
      </c>
      <c r="V85" t="e">
        <f>IF(R85&lt;&gt;0,Configuración!$G$2,0)</f>
        <v>#REF!</v>
      </c>
      <c r="W85" t="e">
        <f t="shared" si="13"/>
        <v>#REF!</v>
      </c>
      <c r="X85" t="e">
        <f t="shared" si="14"/>
        <v>#REF!</v>
      </c>
      <c r="Z85" t="e">
        <f t="shared" si="15"/>
        <v>#REF!</v>
      </c>
      <c r="AB85" t="e">
        <f t="shared" si="16"/>
        <v>#REF!</v>
      </c>
      <c r="AG85" t="e">
        <f t="shared" si="17"/>
        <v>#REF!</v>
      </c>
      <c r="AH85" s="5" t="e">
        <f t="shared" si="18"/>
        <v>#REF!</v>
      </c>
      <c r="AI85" t="e">
        <f t="shared" si="19"/>
        <v>#REF!</v>
      </c>
    </row>
    <row r="86" spans="1:35" x14ac:dyDescent="0.55000000000000004">
      <c r="A86" s="3">
        <v>45929</v>
      </c>
      <c r="B86" s="4">
        <v>0.625</v>
      </c>
      <c r="C86" t="s">
        <v>33</v>
      </c>
      <c r="D86" t="e">
        <f>IF(COUNTIF(#REF!,"&lt;&gt;NAN")=0, 0, IF(AND(OR(#REF!=#REF!,#REF!="NAN"), OR(#REF!=#REF!,#REF!="NAN"), OR(#REF!=#REF!,#REF!="NAN")),#REF!, 0))</f>
        <v>#REF!</v>
      </c>
      <c r="E86" t="e">
        <f>IF(#REF!="NAN","",IF(
   AND(OR(#REF!=#REF!,#REF!="NAN"),
     OR(#REF!=#REF!,#REF!="NAN"),
     OR(#REF!=#REF!,#REF!="NAN")),
   1,
   0))</f>
        <v>#REF!</v>
      </c>
      <c r="G86" t="e">
        <f>IF(OR(#REF!="UP",#REF!="DOWN"),1,0)</f>
        <v>#REF!</v>
      </c>
      <c r="H86" t="e">
        <f>IF(OR(#REF!="UP",#REF!="DOWN"),1,0)</f>
        <v>#REF!</v>
      </c>
      <c r="I86" t="e">
        <f>IF(OR(#REF!="UP",#REF!="DOWN"),1,0)</f>
        <v>#REF!</v>
      </c>
      <c r="M86" t="e">
        <f>IF(OR(#REF!="UP",#REF!="DOWN"),1,1)</f>
        <v>#REF!</v>
      </c>
      <c r="N86" t="e">
        <f>IF(OR(#REF!="UP",#REF!="DOWN"),VLOOKUP($C86,Configuración!$H$2:$K$11,3),1)</f>
        <v>#REF!</v>
      </c>
      <c r="O86" t="e">
        <f>IF(OR(#REF!="UP",#REF!="DOWN"),VLOOKUP($C86,Configuración!$H$2:$K$11,4),1)</f>
        <v>#REF!</v>
      </c>
      <c r="P86" t="e">
        <f t="shared" si="10"/>
        <v>#REF!</v>
      </c>
      <c r="Q86" t="e">
        <f t="shared" si="20"/>
        <v>#REF!</v>
      </c>
      <c r="R86" t="e">
        <f t="shared" si="12"/>
        <v>#REF!</v>
      </c>
      <c r="T86" t="e">
        <f>IF(R86&lt;&gt;0,Configuración!$E$2,0)</f>
        <v>#REF!</v>
      </c>
      <c r="U86" t="e">
        <f>IF(R86&lt;&gt;0,Configuración!$F$2,0)</f>
        <v>#REF!</v>
      </c>
      <c r="V86" t="e">
        <f>IF(R86&lt;&gt;0,Configuración!$G$2,0)</f>
        <v>#REF!</v>
      </c>
      <c r="W86" t="e">
        <f t="shared" si="13"/>
        <v>#REF!</v>
      </c>
      <c r="X86" t="e">
        <f t="shared" si="14"/>
        <v>#REF!</v>
      </c>
      <c r="Z86" t="e">
        <f t="shared" si="15"/>
        <v>#REF!</v>
      </c>
      <c r="AB86" t="e">
        <f t="shared" si="16"/>
        <v>#REF!</v>
      </c>
      <c r="AG86" t="e">
        <f t="shared" si="17"/>
        <v>#REF!</v>
      </c>
      <c r="AH86" s="5" t="e">
        <f t="shared" si="18"/>
        <v>#REF!</v>
      </c>
      <c r="AI86" t="e">
        <f t="shared" si="19"/>
        <v>#REF!</v>
      </c>
    </row>
    <row r="87" spans="1:35" x14ac:dyDescent="0.55000000000000004">
      <c r="A87" s="3">
        <v>45929</v>
      </c>
      <c r="B87" s="4">
        <v>0.625</v>
      </c>
      <c r="C87" t="s">
        <v>35</v>
      </c>
      <c r="D87" t="e">
        <f>IF(COUNTIF(#REF!,"&lt;&gt;NAN")=0, 0, IF(AND(OR(#REF!=#REF!,#REF!="NAN"), OR(#REF!=#REF!,#REF!="NAN"), OR(#REF!=#REF!,#REF!="NAN")),#REF!, 0))</f>
        <v>#REF!</v>
      </c>
      <c r="E87" t="e">
        <f>IF(#REF!="NAN","",IF(
   AND(OR(#REF!=#REF!,#REF!="NAN"),
     OR(#REF!=#REF!,#REF!="NAN"),
     OR(#REF!=#REF!,#REF!="NAN")),
   1,
   0))</f>
        <v>#REF!</v>
      </c>
      <c r="G87" t="e">
        <f>IF(OR(#REF!="UP",#REF!="DOWN"),1,0)</f>
        <v>#REF!</v>
      </c>
      <c r="H87" t="e">
        <f>IF(OR(#REF!="UP",#REF!="DOWN"),1,0)</f>
        <v>#REF!</v>
      </c>
      <c r="I87" t="e">
        <f>IF(OR(#REF!="UP",#REF!="DOWN"),1,0)</f>
        <v>#REF!</v>
      </c>
      <c r="M87" t="e">
        <f>IF(OR(#REF!="UP",#REF!="DOWN"),1,1)</f>
        <v>#REF!</v>
      </c>
      <c r="N87" t="e">
        <f>IF(OR(#REF!="UP",#REF!="DOWN"),VLOOKUP($C87,Configuración!$H$2:$K$11,3),1)</f>
        <v>#REF!</v>
      </c>
      <c r="O87" t="e">
        <f>IF(OR(#REF!="UP",#REF!="DOWN"),VLOOKUP($C87,Configuración!$H$2:$K$11,4),1)</f>
        <v>#REF!</v>
      </c>
      <c r="P87" t="e">
        <f t="shared" si="10"/>
        <v>#REF!</v>
      </c>
      <c r="Q87" t="e">
        <f t="shared" si="20"/>
        <v>#REF!</v>
      </c>
      <c r="R87" t="e">
        <f t="shared" si="12"/>
        <v>#REF!</v>
      </c>
      <c r="T87" t="e">
        <f>IF(R87&lt;&gt;0,Configuración!$E$2,0)</f>
        <v>#REF!</v>
      </c>
      <c r="U87" t="e">
        <f>IF(R87&lt;&gt;0,Configuración!$F$2,0)</f>
        <v>#REF!</v>
      </c>
      <c r="V87" t="e">
        <f>IF(R87&lt;&gt;0,Configuración!$G$2,0)</f>
        <v>#REF!</v>
      </c>
      <c r="W87" t="e">
        <f t="shared" si="13"/>
        <v>#REF!</v>
      </c>
      <c r="X87" t="e">
        <f t="shared" si="14"/>
        <v>#REF!</v>
      </c>
      <c r="Z87" t="e">
        <f t="shared" si="15"/>
        <v>#REF!</v>
      </c>
      <c r="AB87" t="e">
        <f t="shared" si="16"/>
        <v>#REF!</v>
      </c>
      <c r="AG87" t="e">
        <f t="shared" si="17"/>
        <v>#REF!</v>
      </c>
      <c r="AH87" s="5" t="e">
        <f t="shared" si="18"/>
        <v>#REF!</v>
      </c>
      <c r="AI87" t="e">
        <f t="shared" si="19"/>
        <v>#REF!</v>
      </c>
    </row>
    <row r="88" spans="1:35" x14ac:dyDescent="0.55000000000000004">
      <c r="A88" s="3">
        <v>45929</v>
      </c>
      <c r="B88" s="4">
        <v>0.625</v>
      </c>
      <c r="C88" t="s">
        <v>34</v>
      </c>
      <c r="D88" t="e">
        <f>IF(COUNTIF(#REF!,"&lt;&gt;NAN")=0, 0, IF(AND(OR(#REF!=#REF!,#REF!="NAN"), OR(#REF!=#REF!,#REF!="NAN"), OR(#REF!=#REF!,#REF!="NAN")),#REF!, 0))</f>
        <v>#REF!</v>
      </c>
      <c r="E88" t="e">
        <f>IF(#REF!="NAN","",IF(
   AND(OR(#REF!=#REF!,#REF!="NAN"),
     OR(#REF!=#REF!,#REF!="NAN"),
     OR(#REF!=#REF!,#REF!="NAN")),
   1,
   0))</f>
        <v>#REF!</v>
      </c>
      <c r="G88" t="e">
        <f>IF(OR(#REF!="UP",#REF!="DOWN"),1,0)</f>
        <v>#REF!</v>
      </c>
      <c r="H88" t="e">
        <f>IF(OR(#REF!="UP",#REF!="DOWN"),1,0)</f>
        <v>#REF!</v>
      </c>
      <c r="I88" t="e">
        <f>IF(OR(#REF!="UP",#REF!="DOWN"),1,0)</f>
        <v>#REF!</v>
      </c>
      <c r="M88" t="e">
        <f>IF(OR(#REF!="UP",#REF!="DOWN"),1,1)</f>
        <v>#REF!</v>
      </c>
      <c r="N88" t="e">
        <f>IF(OR(#REF!="UP",#REF!="DOWN"),VLOOKUP($C88,Configuración!$H$2:$K$11,3),1)</f>
        <v>#REF!</v>
      </c>
      <c r="O88" t="e">
        <f>IF(OR(#REF!="UP",#REF!="DOWN"),VLOOKUP($C88,Configuración!$H$2:$K$11,4),1)</f>
        <v>#REF!</v>
      </c>
      <c r="P88" t="e">
        <f t="shared" si="10"/>
        <v>#REF!</v>
      </c>
      <c r="Q88" t="e">
        <f t="shared" si="20"/>
        <v>#REF!</v>
      </c>
      <c r="R88" t="e">
        <f t="shared" si="12"/>
        <v>#REF!</v>
      </c>
      <c r="T88" t="e">
        <f>IF(R88&lt;&gt;0,Configuración!$E$2,0)</f>
        <v>#REF!</v>
      </c>
      <c r="U88" t="e">
        <f>IF(R88&lt;&gt;0,Configuración!$F$2,0)</f>
        <v>#REF!</v>
      </c>
      <c r="V88" t="e">
        <f>IF(R88&lt;&gt;0,Configuración!$G$2,0)</f>
        <v>#REF!</v>
      </c>
      <c r="W88" t="e">
        <f t="shared" si="13"/>
        <v>#REF!</v>
      </c>
      <c r="X88" t="e">
        <f t="shared" si="14"/>
        <v>#REF!</v>
      </c>
      <c r="Z88" t="e">
        <f t="shared" si="15"/>
        <v>#REF!</v>
      </c>
      <c r="AB88" t="e">
        <f t="shared" si="16"/>
        <v>#REF!</v>
      </c>
      <c r="AG88" t="e">
        <f t="shared" si="17"/>
        <v>#REF!</v>
      </c>
      <c r="AH88" s="5" t="e">
        <f t="shared" si="18"/>
        <v>#REF!</v>
      </c>
      <c r="AI88" t="e">
        <f t="shared" si="19"/>
        <v>#REF!</v>
      </c>
    </row>
    <row r="89" spans="1:35" x14ac:dyDescent="0.55000000000000004">
      <c r="A89" s="3">
        <v>45929</v>
      </c>
      <c r="B89" s="4">
        <v>0.625</v>
      </c>
      <c r="C89" t="s">
        <v>27</v>
      </c>
      <c r="D89" t="e">
        <f>IF(COUNTIF(#REF!,"&lt;&gt;NAN")=0, 0, IF(AND(OR(#REF!=#REF!,#REF!="NAN"), OR(#REF!=#REF!,#REF!="NAN"), OR(#REF!=#REF!,#REF!="NAN")),#REF!, 0))</f>
        <v>#REF!</v>
      </c>
      <c r="E89" t="e">
        <f>IF(#REF!="NAN","",IF(
   AND(OR(#REF!=#REF!,#REF!="NAN"),
     OR(#REF!=#REF!,#REF!="NAN"),
     OR(#REF!=#REF!,#REF!="NAN")),
   1,
   0))</f>
        <v>#REF!</v>
      </c>
      <c r="G89" t="e">
        <f>IF(OR(#REF!="UP",#REF!="DOWN"),1,0)</f>
        <v>#REF!</v>
      </c>
      <c r="H89" t="e">
        <f>IF(OR(#REF!="UP",#REF!="DOWN"),1,0)</f>
        <v>#REF!</v>
      </c>
      <c r="I89" t="e">
        <f>IF(OR(#REF!="UP",#REF!="DOWN"),1,0)</f>
        <v>#REF!</v>
      </c>
      <c r="M89" t="e">
        <f>IF(OR(#REF!="UP",#REF!="DOWN"),1,1)</f>
        <v>#REF!</v>
      </c>
      <c r="N89" t="e">
        <f>IF(OR(#REF!="UP",#REF!="DOWN"),VLOOKUP($C89,Configuración!$H$2:$K$11,3),1)</f>
        <v>#REF!</v>
      </c>
      <c r="O89" t="e">
        <f>IF(OR(#REF!="UP",#REF!="DOWN"),VLOOKUP($C89,Configuración!$H$2:$K$11,4),1)</f>
        <v>#REF!</v>
      </c>
      <c r="P89" t="e">
        <f t="shared" si="10"/>
        <v>#REF!</v>
      </c>
      <c r="Q89" t="e">
        <f t="shared" si="20"/>
        <v>#REF!</v>
      </c>
      <c r="R89" t="e">
        <f t="shared" si="12"/>
        <v>#REF!</v>
      </c>
      <c r="T89" t="e">
        <f>IF(R89&lt;&gt;0,Configuración!$E$2,0)</f>
        <v>#REF!</v>
      </c>
      <c r="U89" t="e">
        <f>IF(R89&lt;&gt;0,Configuración!$F$2,0)</f>
        <v>#REF!</v>
      </c>
      <c r="V89" t="e">
        <f>IF(R89&lt;&gt;0,Configuración!$G$2,0)</f>
        <v>#REF!</v>
      </c>
      <c r="W89" t="e">
        <f t="shared" si="13"/>
        <v>#REF!</v>
      </c>
      <c r="X89" t="e">
        <f t="shared" si="14"/>
        <v>#REF!</v>
      </c>
      <c r="Z89" t="e">
        <f t="shared" si="15"/>
        <v>#REF!</v>
      </c>
      <c r="AB89" t="e">
        <f t="shared" si="16"/>
        <v>#REF!</v>
      </c>
      <c r="AG89" t="e">
        <f t="shared" si="17"/>
        <v>#REF!</v>
      </c>
      <c r="AH89" s="5" t="e">
        <f t="shared" si="18"/>
        <v>#REF!</v>
      </c>
      <c r="AI89" t="e">
        <f t="shared" si="19"/>
        <v>#REF!</v>
      </c>
    </row>
    <row r="90" spans="1:35" x14ac:dyDescent="0.55000000000000004">
      <c r="A90" s="3">
        <v>45929</v>
      </c>
      <c r="B90" s="4">
        <v>0.625</v>
      </c>
      <c r="C90" t="s">
        <v>28</v>
      </c>
      <c r="D90" t="e">
        <f>IF(COUNTIF(#REF!,"&lt;&gt;NAN")=0, 0, IF(AND(OR(#REF!=#REF!,#REF!="NAN"), OR(#REF!=#REF!,#REF!="NAN"), OR(#REF!=#REF!,#REF!="NAN")),#REF!, 0))</f>
        <v>#REF!</v>
      </c>
      <c r="E90" t="e">
        <f>IF(#REF!="NAN","",IF(
   AND(OR(#REF!=#REF!,#REF!="NAN"),
     OR(#REF!=#REF!,#REF!="NAN"),
     OR(#REF!=#REF!,#REF!="NAN")),
   1,
   0))</f>
        <v>#REF!</v>
      </c>
      <c r="G90" t="e">
        <f>IF(OR(#REF!="UP",#REF!="DOWN"),1,0)</f>
        <v>#REF!</v>
      </c>
      <c r="H90" t="e">
        <f>IF(OR(#REF!="UP",#REF!="DOWN"),1,0)</f>
        <v>#REF!</v>
      </c>
      <c r="I90" t="e">
        <f>IF(OR(#REF!="UP",#REF!="DOWN"),1,0)</f>
        <v>#REF!</v>
      </c>
      <c r="M90" t="e">
        <f>IF(OR(#REF!="UP",#REF!="DOWN"),1,1)</f>
        <v>#REF!</v>
      </c>
      <c r="N90" t="e">
        <f>IF(OR(#REF!="UP",#REF!="DOWN"),VLOOKUP($C90,Configuración!$H$2:$K$11,3),1)</f>
        <v>#REF!</v>
      </c>
      <c r="O90" t="e">
        <f>IF(OR(#REF!="UP",#REF!="DOWN"),VLOOKUP($C90,Configuración!$H$2:$K$11,4),1)</f>
        <v>#REF!</v>
      </c>
      <c r="P90" t="e">
        <f t="shared" si="10"/>
        <v>#REF!</v>
      </c>
      <c r="Q90" t="e">
        <f t="shared" si="20"/>
        <v>#REF!</v>
      </c>
      <c r="R90" t="e">
        <f t="shared" si="12"/>
        <v>#REF!</v>
      </c>
      <c r="T90" t="e">
        <f>IF(R90&lt;&gt;0,Configuración!$E$2,0)</f>
        <v>#REF!</v>
      </c>
      <c r="U90" t="e">
        <f>IF(R90&lt;&gt;0,Configuración!$F$2,0)</f>
        <v>#REF!</v>
      </c>
      <c r="V90" t="e">
        <f>IF(R90&lt;&gt;0,Configuración!$G$2,0)</f>
        <v>#REF!</v>
      </c>
      <c r="W90" t="e">
        <f t="shared" si="13"/>
        <v>#REF!</v>
      </c>
      <c r="X90" t="e">
        <f t="shared" si="14"/>
        <v>#REF!</v>
      </c>
      <c r="Z90" t="e">
        <f t="shared" si="15"/>
        <v>#REF!</v>
      </c>
      <c r="AB90" t="e">
        <f t="shared" si="16"/>
        <v>#REF!</v>
      </c>
      <c r="AG90" t="e">
        <f t="shared" si="17"/>
        <v>#REF!</v>
      </c>
      <c r="AH90" s="5" t="e">
        <f t="shared" si="18"/>
        <v>#REF!</v>
      </c>
      <c r="AI90" t="e">
        <f t="shared" si="19"/>
        <v>#REF!</v>
      </c>
    </row>
    <row r="91" spans="1:35" x14ac:dyDescent="0.55000000000000004">
      <c r="A91" s="3">
        <v>45929</v>
      </c>
      <c r="B91" s="4">
        <v>0.625</v>
      </c>
      <c r="C91" t="s">
        <v>30</v>
      </c>
      <c r="D91" t="e">
        <f>IF(COUNTIF(#REF!,"&lt;&gt;NAN")=0, 0, IF(AND(OR(#REF!=#REF!,#REF!="NAN"), OR(#REF!=#REF!,#REF!="NAN"), OR(#REF!=#REF!,#REF!="NAN")),#REF!, 0))</f>
        <v>#REF!</v>
      </c>
      <c r="E91" t="e">
        <f>IF(#REF!="NAN","",IF(
   AND(OR(#REF!=#REF!,#REF!="NAN"),
     OR(#REF!=#REF!,#REF!="NAN"),
     OR(#REF!=#REF!,#REF!="NAN")),
   1,
   0))</f>
        <v>#REF!</v>
      </c>
      <c r="G91" t="e">
        <f>IF(OR(#REF!="UP",#REF!="DOWN"),1,0)</f>
        <v>#REF!</v>
      </c>
      <c r="H91" t="e">
        <f>IF(OR(#REF!="UP",#REF!="DOWN"),1,0)</f>
        <v>#REF!</v>
      </c>
      <c r="I91" t="e">
        <f>IF(OR(#REF!="UP",#REF!="DOWN"),1,0)</f>
        <v>#REF!</v>
      </c>
      <c r="M91" t="e">
        <f>IF(OR(#REF!="UP",#REF!="DOWN"),1,1)</f>
        <v>#REF!</v>
      </c>
      <c r="N91" t="e">
        <f>IF(OR(#REF!="UP",#REF!="DOWN"),VLOOKUP($C91,Configuración!$H$2:$K$11,3),1)</f>
        <v>#REF!</v>
      </c>
      <c r="O91" t="e">
        <f>IF(OR(#REF!="UP",#REF!="DOWN"),VLOOKUP($C91,Configuración!$H$2:$K$11,4),1)</f>
        <v>#REF!</v>
      </c>
      <c r="P91" t="e">
        <f t="shared" si="10"/>
        <v>#REF!</v>
      </c>
      <c r="Q91" t="e">
        <f t="shared" si="20"/>
        <v>#REF!</v>
      </c>
      <c r="R91" t="e">
        <f t="shared" si="12"/>
        <v>#REF!</v>
      </c>
      <c r="T91" t="e">
        <f>IF(R91&lt;&gt;0,Configuración!$E$2,0)</f>
        <v>#REF!</v>
      </c>
      <c r="U91" t="e">
        <f>IF(R91&lt;&gt;0,Configuración!$F$2,0)</f>
        <v>#REF!</v>
      </c>
      <c r="V91" t="e">
        <f>IF(R91&lt;&gt;0,Configuración!$G$2,0)</f>
        <v>#REF!</v>
      </c>
      <c r="W91" t="e">
        <f t="shared" si="13"/>
        <v>#REF!</v>
      </c>
      <c r="X91" t="e">
        <f t="shared" si="14"/>
        <v>#REF!</v>
      </c>
      <c r="Z91" t="e">
        <f t="shared" si="15"/>
        <v>#REF!</v>
      </c>
      <c r="AB91" t="e">
        <f t="shared" si="16"/>
        <v>#REF!</v>
      </c>
      <c r="AG91" t="e">
        <f t="shared" si="17"/>
        <v>#REF!</v>
      </c>
      <c r="AH91" s="5" t="e">
        <f t="shared" si="18"/>
        <v>#REF!</v>
      </c>
      <c r="AI91" t="e">
        <f t="shared" si="19"/>
        <v>#REF!</v>
      </c>
    </row>
    <row r="92" spans="1:35" x14ac:dyDescent="0.55000000000000004">
      <c r="A92" s="3">
        <v>45929</v>
      </c>
      <c r="B92" s="4">
        <v>0.625</v>
      </c>
      <c r="C92" t="s">
        <v>29</v>
      </c>
      <c r="D92" t="e">
        <f>IF(COUNTIF(#REF!,"&lt;&gt;NAN")=0, 0, IF(AND(OR(#REF!=#REF!,#REF!="NAN"), OR(#REF!=#REF!,#REF!="NAN"), OR(#REF!=#REF!,#REF!="NAN")),#REF!, 0))</f>
        <v>#REF!</v>
      </c>
      <c r="E92" t="e">
        <f>IF(#REF!="NAN","",IF(
   AND(OR(#REF!=#REF!,#REF!="NAN"),
     OR(#REF!=#REF!,#REF!="NAN"),
     OR(#REF!=#REF!,#REF!="NAN")),
   1,
   0))</f>
        <v>#REF!</v>
      </c>
      <c r="G92" t="e">
        <f>IF(OR(#REF!="UP",#REF!="DOWN"),1,0)</f>
        <v>#REF!</v>
      </c>
      <c r="H92" t="e">
        <f>IF(OR(#REF!="UP",#REF!="DOWN"),1,0)</f>
        <v>#REF!</v>
      </c>
      <c r="I92" t="e">
        <f>IF(OR(#REF!="UP",#REF!="DOWN"),1,0)</f>
        <v>#REF!</v>
      </c>
      <c r="M92" t="e">
        <f>IF(OR(#REF!="UP",#REF!="DOWN"),1,1)</f>
        <v>#REF!</v>
      </c>
      <c r="N92" t="e">
        <f>IF(OR(#REF!="UP",#REF!="DOWN"),VLOOKUP($C92,Configuración!$H$2:$K$11,3),1)</f>
        <v>#REF!</v>
      </c>
      <c r="O92" t="e">
        <f>IF(OR(#REF!="UP",#REF!="DOWN"),VLOOKUP($C92,Configuración!$H$2:$K$11,4),1)</f>
        <v>#REF!</v>
      </c>
      <c r="P92" t="e">
        <f t="shared" si="10"/>
        <v>#REF!</v>
      </c>
      <c r="Q92" t="e">
        <f t="shared" si="20"/>
        <v>#REF!</v>
      </c>
      <c r="R92" t="e">
        <f t="shared" si="12"/>
        <v>#REF!</v>
      </c>
      <c r="T92" t="e">
        <f>IF(R92&lt;&gt;0,Configuración!$E$2,0)</f>
        <v>#REF!</v>
      </c>
      <c r="U92" t="e">
        <f>IF(R92&lt;&gt;0,Configuración!$F$2,0)</f>
        <v>#REF!</v>
      </c>
      <c r="V92" t="e">
        <f>IF(R92&lt;&gt;0,Configuración!$G$2,0)</f>
        <v>#REF!</v>
      </c>
      <c r="W92" t="e">
        <f t="shared" si="13"/>
        <v>#REF!</v>
      </c>
      <c r="X92" t="e">
        <f t="shared" si="14"/>
        <v>#REF!</v>
      </c>
      <c r="Z92" t="e">
        <f t="shared" si="15"/>
        <v>#REF!</v>
      </c>
      <c r="AB92" t="e">
        <f t="shared" si="16"/>
        <v>#REF!</v>
      </c>
      <c r="AG92" t="e">
        <f t="shared" si="17"/>
        <v>#REF!</v>
      </c>
      <c r="AH92" s="5" t="e">
        <f t="shared" si="18"/>
        <v>#REF!</v>
      </c>
      <c r="AI92" t="e">
        <f t="shared" si="19"/>
        <v>#REF!</v>
      </c>
    </row>
    <row r="93" spans="1:35" x14ac:dyDescent="0.55000000000000004">
      <c r="A93" s="3">
        <v>45929</v>
      </c>
      <c r="B93" s="4">
        <v>0.625</v>
      </c>
      <c r="C93" t="s">
        <v>31</v>
      </c>
      <c r="D93" t="e">
        <f>IF(COUNTIF(#REF!,"&lt;&gt;NAN")=0, 0, IF(AND(OR(#REF!=#REF!,#REF!="NAN"), OR(#REF!=#REF!,#REF!="NAN"), OR(#REF!=#REF!,#REF!="NAN")),#REF!, 0))</f>
        <v>#REF!</v>
      </c>
      <c r="E93" t="e">
        <f>IF(#REF!="NAN","",IF(
   AND(OR(#REF!=#REF!,#REF!="NAN"),
     OR(#REF!=#REF!,#REF!="NAN"),
     OR(#REF!=#REF!,#REF!="NAN")),
   1,
   0))</f>
        <v>#REF!</v>
      </c>
      <c r="G93" t="e">
        <f>IF(OR(#REF!="UP",#REF!="DOWN"),1,0)</f>
        <v>#REF!</v>
      </c>
      <c r="H93" t="e">
        <f>IF(OR(#REF!="UP",#REF!="DOWN"),1,0)</f>
        <v>#REF!</v>
      </c>
      <c r="I93" t="e">
        <f>IF(OR(#REF!="UP",#REF!="DOWN"),1,0)</f>
        <v>#REF!</v>
      </c>
      <c r="M93" t="e">
        <f>IF(OR(#REF!="UP",#REF!="DOWN"),1,1)</f>
        <v>#REF!</v>
      </c>
      <c r="N93" t="e">
        <f>IF(OR(#REF!="UP",#REF!="DOWN"),VLOOKUP($C93,Configuración!$H$2:$K$11,3),1)</f>
        <v>#REF!</v>
      </c>
      <c r="O93" t="e">
        <f>IF(OR(#REF!="UP",#REF!="DOWN"),VLOOKUP($C93,Configuración!$H$2:$K$11,4),1)</f>
        <v>#REF!</v>
      </c>
      <c r="P93" t="e">
        <f t="shared" si="10"/>
        <v>#REF!</v>
      </c>
      <c r="Q93" t="e">
        <f t="shared" si="20"/>
        <v>#REF!</v>
      </c>
      <c r="R93" t="e">
        <f t="shared" si="12"/>
        <v>#REF!</v>
      </c>
      <c r="T93" t="e">
        <f>IF(R93&lt;&gt;0,Configuración!$E$2,0)</f>
        <v>#REF!</v>
      </c>
      <c r="U93" t="e">
        <f>IF(R93&lt;&gt;0,Configuración!$F$2,0)</f>
        <v>#REF!</v>
      </c>
      <c r="V93" t="e">
        <f>IF(R93&lt;&gt;0,Configuración!$G$2,0)</f>
        <v>#REF!</v>
      </c>
      <c r="W93" t="e">
        <f t="shared" si="13"/>
        <v>#REF!</v>
      </c>
      <c r="X93" t="e">
        <f t="shared" si="14"/>
        <v>#REF!</v>
      </c>
      <c r="Z93" t="e">
        <f t="shared" si="15"/>
        <v>#REF!</v>
      </c>
      <c r="AB93" t="e">
        <f t="shared" si="16"/>
        <v>#REF!</v>
      </c>
      <c r="AG93" t="e">
        <f t="shared" si="17"/>
        <v>#REF!</v>
      </c>
      <c r="AH93" s="5" t="e">
        <f t="shared" si="18"/>
        <v>#REF!</v>
      </c>
      <c r="AI93" t="e">
        <f t="shared" si="19"/>
        <v>#REF!</v>
      </c>
    </row>
    <row r="94" spans="1:35" x14ac:dyDescent="0.55000000000000004">
      <c r="A94" s="3">
        <v>45930</v>
      </c>
      <c r="B94" s="4">
        <v>0.625</v>
      </c>
      <c r="C94" t="s">
        <v>32</v>
      </c>
      <c r="D94" t="e">
        <f>IF(COUNTIF(#REF!,"&lt;&gt;NAN")=0, 0, IF(AND(OR(#REF!=#REF!,#REF!="NAN"), OR(#REF!=#REF!,#REF!="NAN"), OR(#REF!=#REF!,#REF!="NAN")),#REF!, 0))</f>
        <v>#REF!</v>
      </c>
      <c r="E94" t="e">
        <f>IF(#REF!="NAN","",IF(
   AND(OR(#REF!=#REF!,#REF!="NAN"),
     OR(#REF!=#REF!,#REF!="NAN"),
     OR(#REF!=#REF!,#REF!="NAN")),
   1,
   0))</f>
        <v>#REF!</v>
      </c>
      <c r="G94" t="e">
        <f>IF(OR(#REF!="UP",#REF!="DOWN"),1,0)</f>
        <v>#REF!</v>
      </c>
      <c r="H94" t="e">
        <f>IF(OR(#REF!="UP",#REF!="DOWN"),1,0)</f>
        <v>#REF!</v>
      </c>
      <c r="I94" t="e">
        <f>IF(OR(#REF!="UP",#REF!="DOWN"),1,0)</f>
        <v>#REF!</v>
      </c>
      <c r="M94" t="e">
        <f>IF(OR(#REF!="UP",#REF!="DOWN"),1,1)</f>
        <v>#REF!</v>
      </c>
      <c r="N94" t="e">
        <f>IF(OR(#REF!="UP",#REF!="DOWN"),VLOOKUP($C94,Configuración!$H$2:$K$11,3),1)</f>
        <v>#REF!</v>
      </c>
      <c r="O94" t="e">
        <f>IF(OR(#REF!="UP",#REF!="DOWN"),VLOOKUP($C94,Configuración!$H$2:$K$11,4),1)</f>
        <v>#REF!</v>
      </c>
      <c r="P94" t="e">
        <f t="shared" si="10"/>
        <v>#REF!</v>
      </c>
      <c r="Q94" t="e">
        <f t="shared" si="20"/>
        <v>#REF!</v>
      </c>
      <c r="R94" t="e">
        <f t="shared" si="12"/>
        <v>#REF!</v>
      </c>
      <c r="T94" t="e">
        <f>IF(R94&lt;&gt;0,Configuración!$E$2,0)</f>
        <v>#REF!</v>
      </c>
      <c r="U94" t="e">
        <f>IF(R94&lt;&gt;0,Configuración!$F$2,0)</f>
        <v>#REF!</v>
      </c>
      <c r="V94" t="e">
        <f>IF(R94&lt;&gt;0,Configuración!$G$2,0)</f>
        <v>#REF!</v>
      </c>
      <c r="W94" t="e">
        <f t="shared" si="13"/>
        <v>#REF!</v>
      </c>
      <c r="X94" t="e">
        <f t="shared" si="14"/>
        <v>#REF!</v>
      </c>
      <c r="Z94" t="e">
        <f t="shared" si="15"/>
        <v>#REF!</v>
      </c>
      <c r="AB94" t="e">
        <f t="shared" si="16"/>
        <v>#REF!</v>
      </c>
      <c r="AG94" t="e">
        <f t="shared" si="17"/>
        <v>#REF!</v>
      </c>
      <c r="AH94" s="5" t="e">
        <f t="shared" si="18"/>
        <v>#REF!</v>
      </c>
      <c r="AI94" t="e">
        <f t="shared" si="19"/>
        <v>#REF!</v>
      </c>
    </row>
    <row r="95" spans="1:35" x14ac:dyDescent="0.55000000000000004">
      <c r="A95" s="3">
        <v>45930</v>
      </c>
      <c r="B95" s="4">
        <v>0.625</v>
      </c>
      <c r="C95" t="s">
        <v>26</v>
      </c>
      <c r="D95" t="e">
        <f>IF(COUNTIF(#REF!,"&lt;&gt;NAN")=0, 0, IF(AND(OR(#REF!=#REF!,#REF!="NAN"), OR(#REF!=#REF!,#REF!="NAN"), OR(#REF!=#REF!,#REF!="NAN")),#REF!, 0))</f>
        <v>#REF!</v>
      </c>
      <c r="E95" t="e">
        <f>IF(#REF!="NAN","",IF(
   AND(OR(#REF!=#REF!,#REF!="NAN"),
     OR(#REF!=#REF!,#REF!="NAN"),
     OR(#REF!=#REF!,#REF!="NAN")),
   1,
   0))</f>
        <v>#REF!</v>
      </c>
      <c r="G95" t="e">
        <f>IF(OR(#REF!="UP",#REF!="DOWN"),1,0)</f>
        <v>#REF!</v>
      </c>
      <c r="H95" t="e">
        <f>IF(OR(#REF!="UP",#REF!="DOWN"),1,0)</f>
        <v>#REF!</v>
      </c>
      <c r="I95" t="e">
        <f>IF(OR(#REF!="UP",#REF!="DOWN"),1,0)</f>
        <v>#REF!</v>
      </c>
      <c r="M95" t="e">
        <f>IF(OR(#REF!="UP",#REF!="DOWN"),1,1)</f>
        <v>#REF!</v>
      </c>
      <c r="N95" t="e">
        <f>IF(OR(#REF!="UP",#REF!="DOWN"),VLOOKUP($C95,Configuración!$H$2:$K$11,3),1)</f>
        <v>#REF!</v>
      </c>
      <c r="O95" t="e">
        <f>IF(OR(#REF!="UP",#REF!="DOWN"),VLOOKUP($C95,Configuración!$H$2:$K$11,4),1)</f>
        <v>#REF!</v>
      </c>
      <c r="P95" t="e">
        <f t="shared" si="10"/>
        <v>#REF!</v>
      </c>
      <c r="Q95" t="e">
        <f t="shared" si="20"/>
        <v>#REF!</v>
      </c>
      <c r="R95" t="e">
        <f t="shared" si="12"/>
        <v>#REF!</v>
      </c>
      <c r="T95" t="e">
        <f>IF(R95&lt;&gt;0,Configuración!$E$2,0)</f>
        <v>#REF!</v>
      </c>
      <c r="U95" t="e">
        <f>IF(R95&lt;&gt;0,Configuración!$F$2,0)</f>
        <v>#REF!</v>
      </c>
      <c r="V95" t="e">
        <f>IF(R95&lt;&gt;0,Configuración!$G$2,0)</f>
        <v>#REF!</v>
      </c>
      <c r="W95" t="e">
        <f t="shared" si="13"/>
        <v>#REF!</v>
      </c>
      <c r="X95" t="e">
        <f t="shared" si="14"/>
        <v>#REF!</v>
      </c>
      <c r="Z95" t="e">
        <f t="shared" si="15"/>
        <v>#REF!</v>
      </c>
      <c r="AB95" t="e">
        <f t="shared" si="16"/>
        <v>#REF!</v>
      </c>
      <c r="AG95" t="e">
        <f t="shared" si="17"/>
        <v>#REF!</v>
      </c>
      <c r="AH95" s="5" t="e">
        <f t="shared" si="18"/>
        <v>#REF!</v>
      </c>
      <c r="AI95" t="e">
        <f t="shared" si="19"/>
        <v>#REF!</v>
      </c>
    </row>
    <row r="96" spans="1:35" x14ac:dyDescent="0.55000000000000004">
      <c r="A96" s="3">
        <v>45930</v>
      </c>
      <c r="B96" s="4">
        <v>0.625</v>
      </c>
      <c r="C96" t="s">
        <v>33</v>
      </c>
      <c r="D96" t="e">
        <f>IF(COUNTIF(#REF!,"&lt;&gt;NAN")=0, 0, IF(AND(OR(#REF!=#REF!,#REF!="NAN"), OR(#REF!=#REF!,#REF!="NAN"), OR(#REF!=#REF!,#REF!="NAN")),#REF!, 0))</f>
        <v>#REF!</v>
      </c>
      <c r="E96" t="e">
        <f>IF(#REF!="NAN","",IF(
   AND(OR(#REF!=#REF!,#REF!="NAN"),
     OR(#REF!=#REF!,#REF!="NAN"),
     OR(#REF!=#REF!,#REF!="NAN")),
   1,
   0))</f>
        <v>#REF!</v>
      </c>
      <c r="G96" t="e">
        <f>IF(OR(#REF!="UP",#REF!="DOWN"),1,0)</f>
        <v>#REF!</v>
      </c>
      <c r="H96" t="e">
        <f>IF(OR(#REF!="UP",#REF!="DOWN"),1,0)</f>
        <v>#REF!</v>
      </c>
      <c r="I96" t="e">
        <f>IF(OR(#REF!="UP",#REF!="DOWN"),1,0)</f>
        <v>#REF!</v>
      </c>
      <c r="M96" t="e">
        <f>IF(OR(#REF!="UP",#REF!="DOWN"),1,1)</f>
        <v>#REF!</v>
      </c>
      <c r="N96" t="e">
        <f>IF(OR(#REF!="UP",#REF!="DOWN"),VLOOKUP($C96,Configuración!$H$2:$K$11,3),1)</f>
        <v>#REF!</v>
      </c>
      <c r="O96" t="e">
        <f>IF(OR(#REF!="UP",#REF!="DOWN"),VLOOKUP($C96,Configuración!$H$2:$K$11,4),1)</f>
        <v>#REF!</v>
      </c>
      <c r="P96" t="e">
        <f t="shared" si="10"/>
        <v>#REF!</v>
      </c>
      <c r="Q96" t="e">
        <f t="shared" si="20"/>
        <v>#REF!</v>
      </c>
      <c r="R96" t="e">
        <f t="shared" si="12"/>
        <v>#REF!</v>
      </c>
      <c r="T96" t="e">
        <f>IF(R96&lt;&gt;0,Configuración!$E$2,0)</f>
        <v>#REF!</v>
      </c>
      <c r="U96" t="e">
        <f>IF(R96&lt;&gt;0,Configuración!$F$2,0)</f>
        <v>#REF!</v>
      </c>
      <c r="V96" t="e">
        <f>IF(R96&lt;&gt;0,Configuración!$G$2,0)</f>
        <v>#REF!</v>
      </c>
      <c r="W96" t="e">
        <f t="shared" si="13"/>
        <v>#REF!</v>
      </c>
      <c r="X96" t="e">
        <f t="shared" si="14"/>
        <v>#REF!</v>
      </c>
      <c r="Z96" t="e">
        <f t="shared" si="15"/>
        <v>#REF!</v>
      </c>
      <c r="AB96" t="e">
        <f t="shared" si="16"/>
        <v>#REF!</v>
      </c>
      <c r="AG96" t="e">
        <f t="shared" si="17"/>
        <v>#REF!</v>
      </c>
      <c r="AH96" s="5" t="e">
        <f t="shared" si="18"/>
        <v>#REF!</v>
      </c>
      <c r="AI96" t="e">
        <f t="shared" si="19"/>
        <v>#REF!</v>
      </c>
    </row>
    <row r="97" spans="1:35" x14ac:dyDescent="0.55000000000000004">
      <c r="A97" s="3">
        <v>45930</v>
      </c>
      <c r="B97" s="4">
        <v>0.625</v>
      </c>
      <c r="C97" t="s">
        <v>35</v>
      </c>
      <c r="D97" t="e">
        <f>IF(COUNTIF(#REF!,"&lt;&gt;NAN")=0, 0, IF(AND(OR(#REF!=#REF!,#REF!="NAN"), OR(#REF!=#REF!,#REF!="NAN"), OR(#REF!=#REF!,#REF!="NAN")),#REF!, 0))</f>
        <v>#REF!</v>
      </c>
      <c r="E97" t="e">
        <f>IF(#REF!="NAN","",IF(
   AND(OR(#REF!=#REF!,#REF!="NAN"),
     OR(#REF!=#REF!,#REF!="NAN"),
     OR(#REF!=#REF!,#REF!="NAN")),
   1,
   0))</f>
        <v>#REF!</v>
      </c>
      <c r="G97" t="e">
        <f>IF(OR(#REF!="UP",#REF!="DOWN"),1,0)</f>
        <v>#REF!</v>
      </c>
      <c r="H97" t="e">
        <f>IF(OR(#REF!="UP",#REF!="DOWN"),1,0)</f>
        <v>#REF!</v>
      </c>
      <c r="I97" t="e">
        <f>IF(OR(#REF!="UP",#REF!="DOWN"),1,0)</f>
        <v>#REF!</v>
      </c>
      <c r="M97" t="e">
        <f>IF(OR(#REF!="UP",#REF!="DOWN"),1,1)</f>
        <v>#REF!</v>
      </c>
      <c r="N97" t="e">
        <f>IF(OR(#REF!="UP",#REF!="DOWN"),VLOOKUP($C97,Configuración!$H$2:$K$11,3),1)</f>
        <v>#REF!</v>
      </c>
      <c r="O97" t="e">
        <f>IF(OR(#REF!="UP",#REF!="DOWN"),VLOOKUP($C97,Configuración!$H$2:$K$11,4),1)</f>
        <v>#REF!</v>
      </c>
      <c r="P97" t="e">
        <f t="shared" si="10"/>
        <v>#REF!</v>
      </c>
      <c r="Q97" t="e">
        <f t="shared" si="20"/>
        <v>#REF!</v>
      </c>
      <c r="R97" t="e">
        <f t="shared" si="12"/>
        <v>#REF!</v>
      </c>
      <c r="T97" t="e">
        <f>IF(R97&lt;&gt;0,Configuración!$E$2,0)</f>
        <v>#REF!</v>
      </c>
      <c r="U97" t="e">
        <f>IF(R97&lt;&gt;0,Configuración!$F$2,0)</f>
        <v>#REF!</v>
      </c>
      <c r="V97" t="e">
        <f>IF(R97&lt;&gt;0,Configuración!$G$2,0)</f>
        <v>#REF!</v>
      </c>
      <c r="W97" t="e">
        <f t="shared" si="13"/>
        <v>#REF!</v>
      </c>
      <c r="X97" t="e">
        <f t="shared" si="14"/>
        <v>#REF!</v>
      </c>
      <c r="Z97" t="e">
        <f t="shared" si="15"/>
        <v>#REF!</v>
      </c>
      <c r="AB97" t="e">
        <f t="shared" si="16"/>
        <v>#REF!</v>
      </c>
      <c r="AG97" t="e">
        <f t="shared" si="17"/>
        <v>#REF!</v>
      </c>
      <c r="AH97" s="5" t="e">
        <f t="shared" si="18"/>
        <v>#REF!</v>
      </c>
      <c r="AI97" t="e">
        <f t="shared" si="19"/>
        <v>#REF!</v>
      </c>
    </row>
    <row r="98" spans="1:35" x14ac:dyDescent="0.55000000000000004">
      <c r="A98" s="3">
        <v>45930</v>
      </c>
      <c r="B98" s="4">
        <v>0.625</v>
      </c>
      <c r="C98" t="s">
        <v>34</v>
      </c>
      <c r="D98" t="e">
        <f>IF(COUNTIF(#REF!,"&lt;&gt;NAN")=0, 0, IF(AND(OR(#REF!=#REF!,#REF!="NAN"), OR(#REF!=#REF!,#REF!="NAN"), OR(#REF!=#REF!,#REF!="NAN")),#REF!, 0))</f>
        <v>#REF!</v>
      </c>
      <c r="E98" t="e">
        <f>IF(#REF!="NAN","",IF(
   AND(OR(#REF!=#REF!,#REF!="NAN"),
     OR(#REF!=#REF!,#REF!="NAN"),
     OR(#REF!=#REF!,#REF!="NAN")),
   1,
   0))</f>
        <v>#REF!</v>
      </c>
      <c r="G98" t="e">
        <f>IF(OR(#REF!="UP",#REF!="DOWN"),1,0)</f>
        <v>#REF!</v>
      </c>
      <c r="H98" t="e">
        <f>IF(OR(#REF!="UP",#REF!="DOWN"),1,0)</f>
        <v>#REF!</v>
      </c>
      <c r="I98" t="e">
        <f>IF(OR(#REF!="UP",#REF!="DOWN"),1,0)</f>
        <v>#REF!</v>
      </c>
      <c r="M98" t="e">
        <f>IF(OR(#REF!="UP",#REF!="DOWN"),1,1)</f>
        <v>#REF!</v>
      </c>
      <c r="N98" t="e">
        <f>IF(OR(#REF!="UP",#REF!="DOWN"),VLOOKUP($C98,Configuración!$H$2:$K$11,3),1)</f>
        <v>#REF!</v>
      </c>
      <c r="O98" t="e">
        <f>IF(OR(#REF!="UP",#REF!="DOWN"),VLOOKUP($C98,Configuración!$H$2:$K$11,4),1)</f>
        <v>#REF!</v>
      </c>
      <c r="P98" t="e">
        <f t="shared" si="10"/>
        <v>#REF!</v>
      </c>
      <c r="Q98" t="e">
        <f t="shared" si="20"/>
        <v>#REF!</v>
      </c>
      <c r="R98" t="e">
        <f t="shared" si="12"/>
        <v>#REF!</v>
      </c>
      <c r="T98" t="e">
        <f>IF(R98&lt;&gt;0,Configuración!$E$2,0)</f>
        <v>#REF!</v>
      </c>
      <c r="U98" t="e">
        <f>IF(R98&lt;&gt;0,Configuración!$F$2,0)</f>
        <v>#REF!</v>
      </c>
      <c r="V98" t="e">
        <f>IF(R98&lt;&gt;0,Configuración!$G$2,0)</f>
        <v>#REF!</v>
      </c>
      <c r="W98" t="e">
        <f t="shared" si="13"/>
        <v>#REF!</v>
      </c>
      <c r="X98" t="e">
        <f t="shared" si="14"/>
        <v>#REF!</v>
      </c>
      <c r="Z98" t="e">
        <f t="shared" si="15"/>
        <v>#REF!</v>
      </c>
      <c r="AB98" t="e">
        <f t="shared" si="16"/>
        <v>#REF!</v>
      </c>
      <c r="AG98" t="e">
        <f t="shared" si="17"/>
        <v>#REF!</v>
      </c>
      <c r="AH98" s="5" t="e">
        <f t="shared" si="18"/>
        <v>#REF!</v>
      </c>
      <c r="AI98" t="e">
        <f t="shared" si="19"/>
        <v>#REF!</v>
      </c>
    </row>
    <row r="99" spans="1:35" x14ac:dyDescent="0.55000000000000004">
      <c r="A99" s="3">
        <v>45930</v>
      </c>
      <c r="B99" s="4">
        <v>0.625</v>
      </c>
      <c r="C99" t="s">
        <v>27</v>
      </c>
      <c r="D99" t="e">
        <f>IF(COUNTIF(#REF!,"&lt;&gt;NAN")=0, 0, IF(AND(OR(#REF!=#REF!,#REF!="NAN"), OR(#REF!=#REF!,#REF!="NAN"), OR(#REF!=#REF!,#REF!="NAN")),#REF!, 0))</f>
        <v>#REF!</v>
      </c>
      <c r="E99" t="e">
        <f>IF(#REF!="NAN","",IF(
   AND(OR(#REF!=#REF!,#REF!="NAN"),
     OR(#REF!=#REF!,#REF!="NAN"),
     OR(#REF!=#REF!,#REF!="NAN")),
   1,
   0))</f>
        <v>#REF!</v>
      </c>
      <c r="G99" t="e">
        <f>IF(OR(#REF!="UP",#REF!="DOWN"),1,0)</f>
        <v>#REF!</v>
      </c>
      <c r="H99" t="e">
        <f>IF(OR(#REF!="UP",#REF!="DOWN"),1,0)</f>
        <v>#REF!</v>
      </c>
      <c r="I99" t="e">
        <f>IF(OR(#REF!="UP",#REF!="DOWN"),1,0)</f>
        <v>#REF!</v>
      </c>
      <c r="M99" t="e">
        <f>IF(OR(#REF!="UP",#REF!="DOWN"),1,1)</f>
        <v>#REF!</v>
      </c>
      <c r="N99" t="e">
        <f>IF(OR(#REF!="UP",#REF!="DOWN"),VLOOKUP($C99,Configuración!$H$2:$K$11,3),1)</f>
        <v>#REF!</v>
      </c>
      <c r="O99" t="e">
        <f>IF(OR(#REF!="UP",#REF!="DOWN"),VLOOKUP($C99,Configuración!$H$2:$K$11,4),1)</f>
        <v>#REF!</v>
      </c>
      <c r="P99" t="e">
        <f t="shared" si="10"/>
        <v>#REF!</v>
      </c>
      <c r="Q99" t="e">
        <f t="shared" si="20"/>
        <v>#REF!</v>
      </c>
      <c r="R99" t="e">
        <f t="shared" si="12"/>
        <v>#REF!</v>
      </c>
      <c r="T99" t="e">
        <f>IF(R99&lt;&gt;0,Configuración!$E$2,0)</f>
        <v>#REF!</v>
      </c>
      <c r="U99" t="e">
        <f>IF(R99&lt;&gt;0,Configuración!$F$2,0)</f>
        <v>#REF!</v>
      </c>
      <c r="V99" t="e">
        <f>IF(R99&lt;&gt;0,Configuración!$G$2,0)</f>
        <v>#REF!</v>
      </c>
      <c r="W99" t="e">
        <f t="shared" si="13"/>
        <v>#REF!</v>
      </c>
      <c r="X99" t="e">
        <f t="shared" si="14"/>
        <v>#REF!</v>
      </c>
      <c r="Z99" t="e">
        <f t="shared" si="15"/>
        <v>#REF!</v>
      </c>
      <c r="AB99" t="e">
        <f t="shared" si="16"/>
        <v>#REF!</v>
      </c>
      <c r="AG99" t="e">
        <f t="shared" si="17"/>
        <v>#REF!</v>
      </c>
      <c r="AH99" s="5" t="e">
        <f t="shared" si="18"/>
        <v>#REF!</v>
      </c>
      <c r="AI99" t="e">
        <f t="shared" si="19"/>
        <v>#REF!</v>
      </c>
    </row>
    <row r="100" spans="1:35" x14ac:dyDescent="0.55000000000000004">
      <c r="A100" s="3">
        <v>45930</v>
      </c>
      <c r="B100" s="4">
        <v>0.625</v>
      </c>
      <c r="C100" t="s">
        <v>28</v>
      </c>
      <c r="D100" t="e">
        <f>IF(COUNTIF(#REF!,"&lt;&gt;NAN")=0, 0, IF(AND(OR(#REF!=#REF!,#REF!="NAN"), OR(#REF!=#REF!,#REF!="NAN"), OR(#REF!=#REF!,#REF!="NAN")),#REF!, 0))</f>
        <v>#REF!</v>
      </c>
      <c r="E100" t="e">
        <f>IF(#REF!="NAN","",IF(
   AND(OR(#REF!=#REF!,#REF!="NAN"),
     OR(#REF!=#REF!,#REF!="NAN"),
     OR(#REF!=#REF!,#REF!="NAN")),
   1,
   0))</f>
        <v>#REF!</v>
      </c>
      <c r="G100" t="e">
        <f>IF(OR(#REF!="UP",#REF!="DOWN"),1,0)</f>
        <v>#REF!</v>
      </c>
      <c r="H100" t="e">
        <f>IF(OR(#REF!="UP",#REF!="DOWN"),1,0)</f>
        <v>#REF!</v>
      </c>
      <c r="I100" t="e">
        <f>IF(OR(#REF!="UP",#REF!="DOWN"),1,0)</f>
        <v>#REF!</v>
      </c>
      <c r="M100" t="e">
        <f>IF(OR(#REF!="UP",#REF!="DOWN"),1,1)</f>
        <v>#REF!</v>
      </c>
      <c r="N100" t="e">
        <f>IF(OR(#REF!="UP",#REF!="DOWN"),VLOOKUP($C100,Configuración!$H$2:$K$11,3),1)</f>
        <v>#REF!</v>
      </c>
      <c r="O100" t="e">
        <f>IF(OR(#REF!="UP",#REF!="DOWN"),VLOOKUP($C100,Configuración!$H$2:$K$11,4),1)</f>
        <v>#REF!</v>
      </c>
      <c r="P100" t="e">
        <f t="shared" si="10"/>
        <v>#REF!</v>
      </c>
      <c r="Q100" t="e">
        <f t="shared" si="20"/>
        <v>#REF!</v>
      </c>
      <c r="R100" t="e">
        <f t="shared" si="12"/>
        <v>#REF!</v>
      </c>
      <c r="T100" t="e">
        <f>IF(R100&lt;&gt;0,Configuración!$E$2,0)</f>
        <v>#REF!</v>
      </c>
      <c r="U100" t="e">
        <f>IF(R100&lt;&gt;0,Configuración!$F$2,0)</f>
        <v>#REF!</v>
      </c>
      <c r="V100" t="e">
        <f>IF(R100&lt;&gt;0,Configuración!$G$2,0)</f>
        <v>#REF!</v>
      </c>
      <c r="W100" t="e">
        <f t="shared" si="13"/>
        <v>#REF!</v>
      </c>
      <c r="X100" t="e">
        <f t="shared" si="14"/>
        <v>#REF!</v>
      </c>
      <c r="Z100" t="e">
        <f t="shared" si="15"/>
        <v>#REF!</v>
      </c>
      <c r="AB100" t="e">
        <f t="shared" si="16"/>
        <v>#REF!</v>
      </c>
      <c r="AG100" t="e">
        <f t="shared" si="17"/>
        <v>#REF!</v>
      </c>
      <c r="AH100" s="5" t="e">
        <f t="shared" si="18"/>
        <v>#REF!</v>
      </c>
      <c r="AI100" t="e">
        <f t="shared" si="19"/>
        <v>#REF!</v>
      </c>
    </row>
    <row r="101" spans="1:35" x14ac:dyDescent="0.55000000000000004">
      <c r="A101" s="3">
        <v>45930</v>
      </c>
      <c r="B101" s="4">
        <v>0.625</v>
      </c>
      <c r="C101" t="s">
        <v>30</v>
      </c>
      <c r="D101" t="e">
        <f>IF(COUNTIF(#REF!,"&lt;&gt;NAN")=0, 0, IF(AND(OR(#REF!=#REF!,#REF!="NAN"), OR(#REF!=#REF!,#REF!="NAN"), OR(#REF!=#REF!,#REF!="NAN")),#REF!, 0))</f>
        <v>#REF!</v>
      </c>
      <c r="E101" t="e">
        <f>IF(#REF!="NAN","",IF(
   AND(OR(#REF!=#REF!,#REF!="NAN"),
     OR(#REF!=#REF!,#REF!="NAN"),
     OR(#REF!=#REF!,#REF!="NAN")),
   1,
   0))</f>
        <v>#REF!</v>
      </c>
      <c r="G101" t="e">
        <f>IF(OR(#REF!="UP",#REF!="DOWN"),1,0)</f>
        <v>#REF!</v>
      </c>
      <c r="H101" t="e">
        <f>IF(OR(#REF!="UP",#REF!="DOWN"),1,0)</f>
        <v>#REF!</v>
      </c>
      <c r="I101" t="e">
        <f>IF(OR(#REF!="UP",#REF!="DOWN"),1,0)</f>
        <v>#REF!</v>
      </c>
      <c r="M101" t="e">
        <f>IF(OR(#REF!="UP",#REF!="DOWN"),1,1)</f>
        <v>#REF!</v>
      </c>
      <c r="N101" t="e">
        <f>IF(OR(#REF!="UP",#REF!="DOWN"),VLOOKUP($C101,Configuración!$H$2:$K$11,3),1)</f>
        <v>#REF!</v>
      </c>
      <c r="O101" t="e">
        <f>IF(OR(#REF!="UP",#REF!="DOWN"),VLOOKUP($C101,Configuración!$H$2:$K$11,4),1)</f>
        <v>#REF!</v>
      </c>
      <c r="P101" t="e">
        <f t="shared" si="10"/>
        <v>#REF!</v>
      </c>
      <c r="Q101" t="e">
        <f t="shared" si="20"/>
        <v>#REF!</v>
      </c>
      <c r="R101" t="e">
        <f t="shared" si="12"/>
        <v>#REF!</v>
      </c>
      <c r="T101" t="e">
        <f>IF(R101&lt;&gt;0,Configuración!$E$2,0)</f>
        <v>#REF!</v>
      </c>
      <c r="U101" t="e">
        <f>IF(R101&lt;&gt;0,Configuración!$F$2,0)</f>
        <v>#REF!</v>
      </c>
      <c r="V101" t="e">
        <f>IF(R101&lt;&gt;0,Configuración!$G$2,0)</f>
        <v>#REF!</v>
      </c>
      <c r="W101" t="e">
        <f t="shared" si="13"/>
        <v>#REF!</v>
      </c>
      <c r="X101" t="e">
        <f t="shared" si="14"/>
        <v>#REF!</v>
      </c>
      <c r="Z101" t="e">
        <f t="shared" si="15"/>
        <v>#REF!</v>
      </c>
      <c r="AB101" t="e">
        <f t="shared" si="16"/>
        <v>#REF!</v>
      </c>
      <c r="AG101" t="e">
        <f t="shared" si="17"/>
        <v>#REF!</v>
      </c>
      <c r="AH101" s="5" t="e">
        <f t="shared" si="18"/>
        <v>#REF!</v>
      </c>
      <c r="AI101" t="e">
        <f t="shared" si="19"/>
        <v>#REF!</v>
      </c>
    </row>
    <row r="102" spans="1:35" x14ac:dyDescent="0.55000000000000004">
      <c r="A102" s="3">
        <v>45930</v>
      </c>
      <c r="B102" s="4">
        <v>0.625</v>
      </c>
      <c r="C102" t="s">
        <v>29</v>
      </c>
      <c r="D102" t="e">
        <f>IF(COUNTIF(#REF!,"&lt;&gt;NAN")=0, 0, IF(AND(OR(#REF!=#REF!,#REF!="NAN"), OR(#REF!=#REF!,#REF!="NAN"), OR(#REF!=#REF!,#REF!="NAN")),#REF!, 0))</f>
        <v>#REF!</v>
      </c>
      <c r="E102" t="e">
        <f>IF(#REF!="NAN","",IF(
   AND(OR(#REF!=#REF!,#REF!="NAN"),
     OR(#REF!=#REF!,#REF!="NAN"),
     OR(#REF!=#REF!,#REF!="NAN")),
   1,
   0))</f>
        <v>#REF!</v>
      </c>
      <c r="G102" t="e">
        <f>IF(OR(#REF!="UP",#REF!="DOWN"),1,0)</f>
        <v>#REF!</v>
      </c>
      <c r="H102" t="e">
        <f>IF(OR(#REF!="UP",#REF!="DOWN"),1,0)</f>
        <v>#REF!</v>
      </c>
      <c r="I102" t="e">
        <f>IF(OR(#REF!="UP",#REF!="DOWN"),1,0)</f>
        <v>#REF!</v>
      </c>
      <c r="M102" t="e">
        <f>IF(OR(#REF!="UP",#REF!="DOWN"),1,1)</f>
        <v>#REF!</v>
      </c>
      <c r="N102" t="e">
        <f>IF(OR(#REF!="UP",#REF!="DOWN"),VLOOKUP($C102,Configuración!$H$2:$K$11,3),1)</f>
        <v>#REF!</v>
      </c>
      <c r="O102" t="e">
        <f>IF(OR(#REF!="UP",#REF!="DOWN"),VLOOKUP($C102,Configuración!$H$2:$K$11,4),1)</f>
        <v>#REF!</v>
      </c>
      <c r="P102" t="e">
        <f t="shared" si="10"/>
        <v>#REF!</v>
      </c>
      <c r="Q102" t="e">
        <f t="shared" si="20"/>
        <v>#REF!</v>
      </c>
      <c r="R102" t="e">
        <f t="shared" si="12"/>
        <v>#REF!</v>
      </c>
      <c r="T102" t="e">
        <f>IF(R102&lt;&gt;0,Configuración!$E$2,0)</f>
        <v>#REF!</v>
      </c>
      <c r="U102" t="e">
        <f>IF(R102&lt;&gt;0,Configuración!$F$2,0)</f>
        <v>#REF!</v>
      </c>
      <c r="V102" t="e">
        <f>IF(R102&lt;&gt;0,Configuración!$G$2,0)</f>
        <v>#REF!</v>
      </c>
      <c r="W102" t="e">
        <f t="shared" si="13"/>
        <v>#REF!</v>
      </c>
      <c r="X102" t="e">
        <f t="shared" si="14"/>
        <v>#REF!</v>
      </c>
      <c r="Z102" t="e">
        <f t="shared" si="15"/>
        <v>#REF!</v>
      </c>
      <c r="AB102" t="e">
        <f t="shared" si="16"/>
        <v>#REF!</v>
      </c>
      <c r="AG102" t="e">
        <f t="shared" si="17"/>
        <v>#REF!</v>
      </c>
      <c r="AH102" s="5" t="e">
        <f t="shared" si="18"/>
        <v>#REF!</v>
      </c>
      <c r="AI102" t="e">
        <f t="shared" si="19"/>
        <v>#REF!</v>
      </c>
    </row>
    <row r="103" spans="1:35" x14ac:dyDescent="0.55000000000000004">
      <c r="A103" s="3">
        <v>45930</v>
      </c>
      <c r="B103" s="4">
        <v>0.625</v>
      </c>
      <c r="C103" t="s">
        <v>31</v>
      </c>
      <c r="D103" t="e">
        <f>IF(COUNTIF(#REF!,"&lt;&gt;NAN")=0, 0, IF(AND(OR(#REF!=#REF!,#REF!="NAN"), OR(#REF!=#REF!,#REF!="NAN"), OR(#REF!=#REF!,#REF!="NAN")),#REF!, 0))</f>
        <v>#REF!</v>
      </c>
      <c r="E103" t="e">
        <f>IF(#REF!="NAN","",IF(
   AND(OR(#REF!=#REF!,#REF!="NAN"),
     OR(#REF!=#REF!,#REF!="NAN"),
     OR(#REF!=#REF!,#REF!="NAN")),
   1,
   0))</f>
        <v>#REF!</v>
      </c>
      <c r="G103" t="e">
        <f>IF(OR(#REF!="UP",#REF!="DOWN"),1,0)</f>
        <v>#REF!</v>
      </c>
      <c r="H103" t="e">
        <f>IF(OR(#REF!="UP",#REF!="DOWN"),1,0)</f>
        <v>#REF!</v>
      </c>
      <c r="I103" t="e">
        <f>IF(OR(#REF!="UP",#REF!="DOWN"),1,0)</f>
        <v>#REF!</v>
      </c>
      <c r="M103" t="e">
        <f>IF(OR(#REF!="UP",#REF!="DOWN"),1,1)</f>
        <v>#REF!</v>
      </c>
      <c r="N103" t="e">
        <f>IF(OR(#REF!="UP",#REF!="DOWN"),VLOOKUP($C103,Configuración!$H$2:$K$11,3),1)</f>
        <v>#REF!</v>
      </c>
      <c r="O103" t="e">
        <f>IF(OR(#REF!="UP",#REF!="DOWN"),VLOOKUP($C103,Configuración!$H$2:$K$11,4),1)</f>
        <v>#REF!</v>
      </c>
      <c r="P103" t="e">
        <f t="shared" si="10"/>
        <v>#REF!</v>
      </c>
      <c r="Q103" t="e">
        <f t="shared" si="20"/>
        <v>#REF!</v>
      </c>
      <c r="R103" t="e">
        <f t="shared" si="12"/>
        <v>#REF!</v>
      </c>
      <c r="T103" t="e">
        <f>IF(R103&lt;&gt;0,Configuración!$E$2,0)</f>
        <v>#REF!</v>
      </c>
      <c r="U103" t="e">
        <f>IF(R103&lt;&gt;0,Configuración!$F$2,0)</f>
        <v>#REF!</v>
      </c>
      <c r="V103" t="e">
        <f>IF(R103&lt;&gt;0,Configuración!$G$2,0)</f>
        <v>#REF!</v>
      </c>
      <c r="W103" t="e">
        <f t="shared" si="13"/>
        <v>#REF!</v>
      </c>
      <c r="X103" t="e">
        <f t="shared" si="14"/>
        <v>#REF!</v>
      </c>
      <c r="Z103" t="e">
        <f t="shared" si="15"/>
        <v>#REF!</v>
      </c>
      <c r="AB103" t="e">
        <f t="shared" si="16"/>
        <v>#REF!</v>
      </c>
      <c r="AG103" t="e">
        <f t="shared" si="17"/>
        <v>#REF!</v>
      </c>
      <c r="AH103" s="5" t="e">
        <f t="shared" si="18"/>
        <v>#REF!</v>
      </c>
      <c r="AI103" t="e">
        <f t="shared" si="19"/>
        <v>#REF!</v>
      </c>
    </row>
    <row r="104" spans="1:35" x14ac:dyDescent="0.55000000000000004">
      <c r="A104" s="3">
        <v>45931</v>
      </c>
      <c r="B104" s="4">
        <v>0.625</v>
      </c>
      <c r="C104" t="s">
        <v>32</v>
      </c>
      <c r="D104" t="e">
        <f>IF(COUNTIF(#REF!,"&lt;&gt;NAN")=0, 0, IF(AND(OR(#REF!=#REF!,#REF!="NAN"), OR(#REF!=#REF!,#REF!="NAN"), OR(#REF!=#REF!,#REF!="NAN")),#REF!, 0))</f>
        <v>#REF!</v>
      </c>
      <c r="E104" t="e">
        <f>IF(#REF!="NAN","",IF(
   AND(OR(#REF!=#REF!,#REF!="NAN"),
     OR(#REF!=#REF!,#REF!="NAN"),
     OR(#REF!=#REF!,#REF!="NAN")),
   1,
   0))</f>
        <v>#REF!</v>
      </c>
      <c r="G104" t="e">
        <f>IF(OR(#REF!="UP",#REF!="DOWN"),1,0)</f>
        <v>#REF!</v>
      </c>
      <c r="H104" t="e">
        <f>IF(OR(#REF!="UP",#REF!="DOWN"),1,0)</f>
        <v>#REF!</v>
      </c>
      <c r="I104" t="e">
        <f>IF(OR(#REF!="UP",#REF!="DOWN"),1,0)</f>
        <v>#REF!</v>
      </c>
      <c r="M104" t="e">
        <f>IF(OR(#REF!="UP",#REF!="DOWN"),1,1)</f>
        <v>#REF!</v>
      </c>
      <c r="N104" t="e">
        <f>IF(OR(#REF!="UP",#REF!="DOWN"),VLOOKUP($C104,Configuración!$H$2:$K$11,3),1)</f>
        <v>#REF!</v>
      </c>
      <c r="O104" t="e">
        <f>IF(OR(#REF!="UP",#REF!="DOWN"),VLOOKUP($C104,Configuración!$H$2:$K$11,4),1)</f>
        <v>#REF!</v>
      </c>
      <c r="P104" t="e">
        <f t="shared" si="10"/>
        <v>#REF!</v>
      </c>
      <c r="Q104" t="e">
        <f t="shared" si="20"/>
        <v>#REF!</v>
      </c>
      <c r="R104" t="e">
        <f t="shared" si="12"/>
        <v>#REF!</v>
      </c>
      <c r="T104" t="e">
        <f>IF(R104&lt;&gt;0,Configuración!$E$2,0)</f>
        <v>#REF!</v>
      </c>
      <c r="U104" t="e">
        <f>IF(R104&lt;&gt;0,Configuración!$F$2,0)</f>
        <v>#REF!</v>
      </c>
      <c r="V104" t="e">
        <f>IF(R104&lt;&gt;0,Configuración!$G$2,0)</f>
        <v>#REF!</v>
      </c>
      <c r="W104" t="e">
        <f t="shared" si="13"/>
        <v>#REF!</v>
      </c>
      <c r="X104" t="e">
        <f t="shared" si="14"/>
        <v>#REF!</v>
      </c>
      <c r="Z104" t="e">
        <f t="shared" si="15"/>
        <v>#REF!</v>
      </c>
      <c r="AB104" t="e">
        <f t="shared" si="16"/>
        <v>#REF!</v>
      </c>
      <c r="AG104" t="e">
        <f t="shared" si="17"/>
        <v>#REF!</v>
      </c>
      <c r="AH104" s="5" t="e">
        <f t="shared" si="18"/>
        <v>#REF!</v>
      </c>
      <c r="AI104" t="e">
        <f t="shared" si="19"/>
        <v>#REF!</v>
      </c>
    </row>
    <row r="105" spans="1:35" x14ac:dyDescent="0.55000000000000004">
      <c r="A105" s="3">
        <v>45931</v>
      </c>
      <c r="B105" s="4">
        <v>0.625</v>
      </c>
      <c r="C105" t="s">
        <v>26</v>
      </c>
      <c r="D105" t="e">
        <f>IF(COUNTIF(#REF!,"&lt;&gt;NAN")=0, 0, IF(AND(OR(#REF!=#REF!,#REF!="NAN"), OR(#REF!=#REF!,#REF!="NAN"), OR(#REF!=#REF!,#REF!="NAN")),#REF!, 0))</f>
        <v>#REF!</v>
      </c>
      <c r="E105" t="e">
        <f>IF(#REF!="NAN","",IF(
   AND(OR(#REF!=#REF!,#REF!="NAN"),
     OR(#REF!=#REF!,#REF!="NAN"),
     OR(#REF!=#REF!,#REF!="NAN")),
   1,
   0))</f>
        <v>#REF!</v>
      </c>
      <c r="G105" t="e">
        <f>IF(OR(#REF!="UP",#REF!="DOWN"),1,0)</f>
        <v>#REF!</v>
      </c>
      <c r="H105" t="e">
        <f>IF(OR(#REF!="UP",#REF!="DOWN"),1,0)</f>
        <v>#REF!</v>
      </c>
      <c r="I105" t="e">
        <f>IF(OR(#REF!="UP",#REF!="DOWN"),1,0)</f>
        <v>#REF!</v>
      </c>
      <c r="M105" t="e">
        <f>IF(OR(#REF!="UP",#REF!="DOWN"),1,1)</f>
        <v>#REF!</v>
      </c>
      <c r="N105" t="e">
        <f>IF(OR(#REF!="UP",#REF!="DOWN"),VLOOKUP($C105,Configuración!$H$2:$K$11,3),1)</f>
        <v>#REF!</v>
      </c>
      <c r="O105" t="e">
        <f>IF(OR(#REF!="UP",#REF!="DOWN"),VLOOKUP($C105,Configuración!$H$2:$K$11,4),1)</f>
        <v>#REF!</v>
      </c>
      <c r="P105" t="e">
        <f t="shared" si="10"/>
        <v>#REF!</v>
      </c>
      <c r="Q105" t="e">
        <f t="shared" si="20"/>
        <v>#REF!</v>
      </c>
      <c r="R105" t="e">
        <f t="shared" si="12"/>
        <v>#REF!</v>
      </c>
      <c r="T105" t="e">
        <f>IF(R105&lt;&gt;0,Configuración!$E$2,0)</f>
        <v>#REF!</v>
      </c>
      <c r="U105" t="e">
        <f>IF(R105&lt;&gt;0,Configuración!$F$2,0)</f>
        <v>#REF!</v>
      </c>
      <c r="V105" t="e">
        <f>IF(R105&lt;&gt;0,Configuración!$G$2,0)</f>
        <v>#REF!</v>
      </c>
      <c r="W105" t="e">
        <f t="shared" si="13"/>
        <v>#REF!</v>
      </c>
      <c r="X105" t="e">
        <f t="shared" si="14"/>
        <v>#REF!</v>
      </c>
      <c r="Z105" t="e">
        <f t="shared" si="15"/>
        <v>#REF!</v>
      </c>
      <c r="AB105" t="e">
        <f t="shared" si="16"/>
        <v>#REF!</v>
      </c>
      <c r="AG105" t="e">
        <f t="shared" si="17"/>
        <v>#REF!</v>
      </c>
      <c r="AH105" s="5" t="e">
        <f t="shared" si="18"/>
        <v>#REF!</v>
      </c>
      <c r="AI105" t="e">
        <f t="shared" si="19"/>
        <v>#REF!</v>
      </c>
    </row>
    <row r="106" spans="1:35" x14ac:dyDescent="0.55000000000000004">
      <c r="A106" s="3">
        <v>45931</v>
      </c>
      <c r="B106" s="4">
        <v>0.625</v>
      </c>
      <c r="C106" t="s">
        <v>33</v>
      </c>
      <c r="D106" t="e">
        <f>IF(COUNTIF(#REF!,"&lt;&gt;NAN")=0, 0, IF(AND(OR(#REF!=#REF!,#REF!="NAN"), OR(#REF!=#REF!,#REF!="NAN"), OR(#REF!=#REF!,#REF!="NAN")),#REF!, 0))</f>
        <v>#REF!</v>
      </c>
      <c r="E106" t="e">
        <f>IF(#REF!="NAN","",IF(
   AND(OR(#REF!=#REF!,#REF!="NAN"),
     OR(#REF!=#REF!,#REF!="NAN"),
     OR(#REF!=#REF!,#REF!="NAN")),
   1,
   0))</f>
        <v>#REF!</v>
      </c>
      <c r="G106" t="e">
        <f>IF(OR(#REF!="UP",#REF!="DOWN"),1,0)</f>
        <v>#REF!</v>
      </c>
      <c r="H106" t="e">
        <f>IF(OR(#REF!="UP",#REF!="DOWN"),1,0)</f>
        <v>#REF!</v>
      </c>
      <c r="I106" t="e">
        <f>IF(OR(#REF!="UP",#REF!="DOWN"),1,0)</f>
        <v>#REF!</v>
      </c>
      <c r="M106" t="e">
        <f>IF(OR(#REF!="UP",#REF!="DOWN"),1,1)</f>
        <v>#REF!</v>
      </c>
      <c r="N106" t="e">
        <f>IF(OR(#REF!="UP",#REF!="DOWN"),VLOOKUP($C106,Configuración!$H$2:$K$11,3),1)</f>
        <v>#REF!</v>
      </c>
      <c r="O106" t="e">
        <f>IF(OR(#REF!="UP",#REF!="DOWN"),VLOOKUP($C106,Configuración!$H$2:$K$11,4),1)</f>
        <v>#REF!</v>
      </c>
      <c r="P106" t="e">
        <f t="shared" si="10"/>
        <v>#REF!</v>
      </c>
      <c r="Q106" t="e">
        <f t="shared" si="20"/>
        <v>#REF!</v>
      </c>
      <c r="R106" t="e">
        <f t="shared" si="12"/>
        <v>#REF!</v>
      </c>
      <c r="T106" t="e">
        <f>IF(R106&lt;&gt;0,Configuración!$E$2,0)</f>
        <v>#REF!</v>
      </c>
      <c r="U106" t="e">
        <f>IF(R106&lt;&gt;0,Configuración!$F$2,0)</f>
        <v>#REF!</v>
      </c>
      <c r="V106" t="e">
        <f>IF(R106&lt;&gt;0,Configuración!$G$2,0)</f>
        <v>#REF!</v>
      </c>
      <c r="W106" t="e">
        <f t="shared" si="13"/>
        <v>#REF!</v>
      </c>
      <c r="X106" t="e">
        <f t="shared" si="14"/>
        <v>#REF!</v>
      </c>
      <c r="Z106" t="e">
        <f t="shared" si="15"/>
        <v>#REF!</v>
      </c>
      <c r="AB106" t="e">
        <f t="shared" si="16"/>
        <v>#REF!</v>
      </c>
      <c r="AG106" t="e">
        <f t="shared" si="17"/>
        <v>#REF!</v>
      </c>
      <c r="AH106" s="5" t="e">
        <f t="shared" si="18"/>
        <v>#REF!</v>
      </c>
      <c r="AI106" t="e">
        <f t="shared" si="19"/>
        <v>#REF!</v>
      </c>
    </row>
    <row r="107" spans="1:35" x14ac:dyDescent="0.55000000000000004">
      <c r="A107" s="3">
        <v>45931</v>
      </c>
      <c r="B107" s="4">
        <v>0.625</v>
      </c>
      <c r="C107" t="s">
        <v>35</v>
      </c>
      <c r="D107" t="e">
        <f>IF(COUNTIF(#REF!,"&lt;&gt;NAN")=0, 0, IF(AND(OR(#REF!=#REF!,#REF!="NAN"), OR(#REF!=#REF!,#REF!="NAN"), OR(#REF!=#REF!,#REF!="NAN")),#REF!, 0))</f>
        <v>#REF!</v>
      </c>
      <c r="E107" t="e">
        <f>IF(#REF!="NAN","",IF(
   AND(OR(#REF!=#REF!,#REF!="NAN"),
     OR(#REF!=#REF!,#REF!="NAN"),
     OR(#REF!=#REF!,#REF!="NAN")),
   1,
   0))</f>
        <v>#REF!</v>
      </c>
      <c r="G107" t="e">
        <f>IF(OR(#REF!="UP",#REF!="DOWN"),1,0)</f>
        <v>#REF!</v>
      </c>
      <c r="H107" t="e">
        <f>IF(OR(#REF!="UP",#REF!="DOWN"),1,0)</f>
        <v>#REF!</v>
      </c>
      <c r="I107" t="e">
        <f>IF(OR(#REF!="UP",#REF!="DOWN"),1,0)</f>
        <v>#REF!</v>
      </c>
      <c r="M107" t="e">
        <f>IF(OR(#REF!="UP",#REF!="DOWN"),1,1)</f>
        <v>#REF!</v>
      </c>
      <c r="N107" t="e">
        <f>IF(OR(#REF!="UP",#REF!="DOWN"),VLOOKUP($C107,Configuración!$H$2:$K$11,3),1)</f>
        <v>#REF!</v>
      </c>
      <c r="O107" t="e">
        <f>IF(OR(#REF!="UP",#REF!="DOWN"),VLOOKUP($C107,Configuración!$H$2:$K$11,4),1)</f>
        <v>#REF!</v>
      </c>
      <c r="P107" t="e">
        <f t="shared" si="10"/>
        <v>#REF!</v>
      </c>
      <c r="Q107" t="e">
        <f t="shared" si="20"/>
        <v>#REF!</v>
      </c>
      <c r="R107" t="e">
        <f t="shared" si="12"/>
        <v>#REF!</v>
      </c>
      <c r="T107" t="e">
        <f>IF(R107&lt;&gt;0,Configuración!$E$2,0)</f>
        <v>#REF!</v>
      </c>
      <c r="U107" t="e">
        <f>IF(R107&lt;&gt;0,Configuración!$F$2,0)</f>
        <v>#REF!</v>
      </c>
      <c r="V107" t="e">
        <f>IF(R107&lt;&gt;0,Configuración!$G$2,0)</f>
        <v>#REF!</v>
      </c>
      <c r="W107" t="e">
        <f t="shared" si="13"/>
        <v>#REF!</v>
      </c>
      <c r="X107" t="e">
        <f t="shared" si="14"/>
        <v>#REF!</v>
      </c>
      <c r="Z107" t="e">
        <f t="shared" si="15"/>
        <v>#REF!</v>
      </c>
      <c r="AB107" t="e">
        <f t="shared" si="16"/>
        <v>#REF!</v>
      </c>
      <c r="AG107" t="e">
        <f t="shared" si="17"/>
        <v>#REF!</v>
      </c>
      <c r="AH107" s="5" t="e">
        <f t="shared" si="18"/>
        <v>#REF!</v>
      </c>
      <c r="AI107" t="e">
        <f t="shared" si="19"/>
        <v>#REF!</v>
      </c>
    </row>
    <row r="108" spans="1:35" x14ac:dyDescent="0.55000000000000004">
      <c r="A108" s="3">
        <v>45931</v>
      </c>
      <c r="B108" s="4">
        <v>0.625</v>
      </c>
      <c r="C108" t="s">
        <v>34</v>
      </c>
      <c r="D108" t="e">
        <f>IF(COUNTIF(#REF!,"&lt;&gt;NAN")=0, 0, IF(AND(OR(#REF!=#REF!,#REF!="NAN"), OR(#REF!=#REF!,#REF!="NAN"), OR(#REF!=#REF!,#REF!="NAN")),#REF!, 0))</f>
        <v>#REF!</v>
      </c>
      <c r="E108" t="e">
        <f>IF(#REF!="NAN","",IF(
   AND(OR(#REF!=#REF!,#REF!="NAN"),
     OR(#REF!=#REF!,#REF!="NAN"),
     OR(#REF!=#REF!,#REF!="NAN")),
   1,
   0))</f>
        <v>#REF!</v>
      </c>
      <c r="G108" t="e">
        <f>IF(OR(#REF!="UP",#REF!="DOWN"),1,0)</f>
        <v>#REF!</v>
      </c>
      <c r="H108" t="e">
        <f>IF(OR(#REF!="UP",#REF!="DOWN"),1,0)</f>
        <v>#REF!</v>
      </c>
      <c r="I108" t="e">
        <f>IF(OR(#REF!="UP",#REF!="DOWN"),1,0)</f>
        <v>#REF!</v>
      </c>
      <c r="M108" t="e">
        <f>IF(OR(#REF!="UP",#REF!="DOWN"),1,1)</f>
        <v>#REF!</v>
      </c>
      <c r="N108" t="e">
        <f>IF(OR(#REF!="UP",#REF!="DOWN"),VLOOKUP($C108,Configuración!$H$2:$K$11,3),1)</f>
        <v>#REF!</v>
      </c>
      <c r="O108" t="e">
        <f>IF(OR(#REF!="UP",#REF!="DOWN"),VLOOKUP($C108,Configuración!$H$2:$K$11,4),1)</f>
        <v>#REF!</v>
      </c>
      <c r="P108" t="e">
        <f t="shared" si="10"/>
        <v>#REF!</v>
      </c>
      <c r="Q108" t="e">
        <f t="shared" si="20"/>
        <v>#REF!</v>
      </c>
      <c r="R108" t="e">
        <f t="shared" si="12"/>
        <v>#REF!</v>
      </c>
      <c r="T108" t="e">
        <f>IF(R108&lt;&gt;0,Configuración!$E$2,0)</f>
        <v>#REF!</v>
      </c>
      <c r="U108" t="e">
        <f>IF(R108&lt;&gt;0,Configuración!$F$2,0)</f>
        <v>#REF!</v>
      </c>
      <c r="V108" t="e">
        <f>IF(R108&lt;&gt;0,Configuración!$G$2,0)</f>
        <v>#REF!</v>
      </c>
      <c r="W108" t="e">
        <f t="shared" si="13"/>
        <v>#REF!</v>
      </c>
      <c r="X108" t="e">
        <f t="shared" si="14"/>
        <v>#REF!</v>
      </c>
      <c r="Z108" t="e">
        <f t="shared" si="15"/>
        <v>#REF!</v>
      </c>
      <c r="AB108" t="e">
        <f t="shared" si="16"/>
        <v>#REF!</v>
      </c>
      <c r="AG108" t="e">
        <f t="shared" si="17"/>
        <v>#REF!</v>
      </c>
      <c r="AH108" s="5" t="e">
        <f t="shared" si="18"/>
        <v>#REF!</v>
      </c>
      <c r="AI108" t="e">
        <f t="shared" si="19"/>
        <v>#REF!</v>
      </c>
    </row>
    <row r="109" spans="1:35" x14ac:dyDescent="0.55000000000000004">
      <c r="A109" s="3">
        <v>45931</v>
      </c>
      <c r="B109" s="4">
        <v>0.625</v>
      </c>
      <c r="C109" t="s">
        <v>27</v>
      </c>
      <c r="D109" t="e">
        <f>IF(COUNTIF(#REF!,"&lt;&gt;NAN")=0, 0, IF(AND(OR(#REF!=#REF!,#REF!="NAN"), OR(#REF!=#REF!,#REF!="NAN"), OR(#REF!=#REF!,#REF!="NAN")),#REF!, 0))</f>
        <v>#REF!</v>
      </c>
      <c r="E109" t="e">
        <f>IF(#REF!="NAN","",IF(
   AND(OR(#REF!=#REF!,#REF!="NAN"),
     OR(#REF!=#REF!,#REF!="NAN"),
     OR(#REF!=#REF!,#REF!="NAN")),
   1,
   0))</f>
        <v>#REF!</v>
      </c>
      <c r="G109" t="e">
        <f>IF(OR(#REF!="UP",#REF!="DOWN"),1,0)</f>
        <v>#REF!</v>
      </c>
      <c r="H109" t="e">
        <f>IF(OR(#REF!="UP",#REF!="DOWN"),1,0)</f>
        <v>#REF!</v>
      </c>
      <c r="I109" t="e">
        <f>IF(OR(#REF!="UP",#REF!="DOWN"),1,0)</f>
        <v>#REF!</v>
      </c>
      <c r="M109" t="e">
        <f>IF(OR(#REF!="UP",#REF!="DOWN"),1,1)</f>
        <v>#REF!</v>
      </c>
      <c r="N109" t="e">
        <f>IF(OR(#REF!="UP",#REF!="DOWN"),VLOOKUP($C109,Configuración!$H$2:$K$11,3),1)</f>
        <v>#REF!</v>
      </c>
      <c r="O109" t="e">
        <f>IF(OR(#REF!="UP",#REF!="DOWN"),VLOOKUP($C109,Configuración!$H$2:$K$11,4),1)</f>
        <v>#REF!</v>
      </c>
      <c r="P109" t="e">
        <f t="shared" si="10"/>
        <v>#REF!</v>
      </c>
      <c r="Q109" t="e">
        <f t="shared" si="20"/>
        <v>#REF!</v>
      </c>
      <c r="R109" t="e">
        <f t="shared" si="12"/>
        <v>#REF!</v>
      </c>
      <c r="T109" t="e">
        <f>IF(R109&lt;&gt;0,Configuración!$E$2,0)</f>
        <v>#REF!</v>
      </c>
      <c r="U109" t="e">
        <f>IF(R109&lt;&gt;0,Configuración!$F$2,0)</f>
        <v>#REF!</v>
      </c>
      <c r="V109" t="e">
        <f>IF(R109&lt;&gt;0,Configuración!$G$2,0)</f>
        <v>#REF!</v>
      </c>
      <c r="W109" t="e">
        <f t="shared" si="13"/>
        <v>#REF!</v>
      </c>
      <c r="X109" t="e">
        <f t="shared" si="14"/>
        <v>#REF!</v>
      </c>
      <c r="Z109" t="e">
        <f t="shared" si="15"/>
        <v>#REF!</v>
      </c>
      <c r="AB109" t="e">
        <f t="shared" si="16"/>
        <v>#REF!</v>
      </c>
      <c r="AG109" t="e">
        <f t="shared" si="17"/>
        <v>#REF!</v>
      </c>
      <c r="AH109" s="5" t="e">
        <f t="shared" si="18"/>
        <v>#REF!</v>
      </c>
      <c r="AI109" t="e">
        <f t="shared" si="19"/>
        <v>#REF!</v>
      </c>
    </row>
    <row r="110" spans="1:35" x14ac:dyDescent="0.55000000000000004">
      <c r="A110" s="3">
        <v>45931</v>
      </c>
      <c r="B110" s="4">
        <v>0.625</v>
      </c>
      <c r="C110" t="s">
        <v>28</v>
      </c>
      <c r="D110" t="e">
        <f>IF(COUNTIF(#REF!,"&lt;&gt;NAN")=0, 0, IF(AND(OR(#REF!=#REF!,#REF!="NAN"), OR(#REF!=#REF!,#REF!="NAN"), OR(#REF!=#REF!,#REF!="NAN")),#REF!, 0))</f>
        <v>#REF!</v>
      </c>
      <c r="E110" t="e">
        <f>IF(#REF!="NAN","",IF(
   AND(OR(#REF!=#REF!,#REF!="NAN"),
     OR(#REF!=#REF!,#REF!="NAN"),
     OR(#REF!=#REF!,#REF!="NAN")),
   1,
   0))</f>
        <v>#REF!</v>
      </c>
      <c r="G110" t="e">
        <f>IF(OR(#REF!="UP",#REF!="DOWN"),1,0)</f>
        <v>#REF!</v>
      </c>
      <c r="H110" t="e">
        <f>IF(OR(#REF!="UP",#REF!="DOWN"),1,0)</f>
        <v>#REF!</v>
      </c>
      <c r="I110" t="e">
        <f>IF(OR(#REF!="UP",#REF!="DOWN"),1,0)</f>
        <v>#REF!</v>
      </c>
      <c r="M110" t="e">
        <f>IF(OR(#REF!="UP",#REF!="DOWN"),1,1)</f>
        <v>#REF!</v>
      </c>
      <c r="N110" t="e">
        <f>IF(OR(#REF!="UP",#REF!="DOWN"),VLOOKUP($C110,Configuración!$H$2:$K$11,3),1)</f>
        <v>#REF!</v>
      </c>
      <c r="O110" t="e">
        <f>IF(OR(#REF!="UP",#REF!="DOWN"),VLOOKUP($C110,Configuración!$H$2:$K$11,4),1)</f>
        <v>#REF!</v>
      </c>
      <c r="P110" t="e">
        <f t="shared" si="10"/>
        <v>#REF!</v>
      </c>
      <c r="Q110" t="e">
        <f t="shared" si="20"/>
        <v>#REF!</v>
      </c>
      <c r="R110" t="e">
        <f t="shared" si="12"/>
        <v>#REF!</v>
      </c>
      <c r="T110" t="e">
        <f>IF(R110&lt;&gt;0,Configuración!$E$2,0)</f>
        <v>#REF!</v>
      </c>
      <c r="U110" t="e">
        <f>IF(R110&lt;&gt;0,Configuración!$F$2,0)</f>
        <v>#REF!</v>
      </c>
      <c r="V110" t="e">
        <f>IF(R110&lt;&gt;0,Configuración!$G$2,0)</f>
        <v>#REF!</v>
      </c>
      <c r="W110" t="e">
        <f t="shared" si="13"/>
        <v>#REF!</v>
      </c>
      <c r="X110" t="e">
        <f t="shared" si="14"/>
        <v>#REF!</v>
      </c>
      <c r="Z110" t="e">
        <f t="shared" si="15"/>
        <v>#REF!</v>
      </c>
      <c r="AB110" t="e">
        <f t="shared" si="16"/>
        <v>#REF!</v>
      </c>
      <c r="AG110" t="e">
        <f t="shared" si="17"/>
        <v>#REF!</v>
      </c>
      <c r="AH110" s="5" t="e">
        <f t="shared" si="18"/>
        <v>#REF!</v>
      </c>
      <c r="AI110" t="e">
        <f t="shared" si="19"/>
        <v>#REF!</v>
      </c>
    </row>
    <row r="111" spans="1:35" x14ac:dyDescent="0.55000000000000004">
      <c r="A111" s="3">
        <v>45931</v>
      </c>
      <c r="B111" s="4">
        <v>0.625</v>
      </c>
      <c r="C111" t="s">
        <v>30</v>
      </c>
      <c r="D111" t="e">
        <f>IF(COUNTIF(#REF!,"&lt;&gt;NAN")=0, 0, IF(AND(OR(#REF!=#REF!,#REF!="NAN"), OR(#REF!=#REF!,#REF!="NAN"), OR(#REF!=#REF!,#REF!="NAN")),#REF!, 0))</f>
        <v>#REF!</v>
      </c>
      <c r="E111" t="e">
        <f>IF(#REF!="NAN","",IF(
   AND(OR(#REF!=#REF!,#REF!="NAN"),
     OR(#REF!=#REF!,#REF!="NAN"),
     OR(#REF!=#REF!,#REF!="NAN")),
   1,
   0))</f>
        <v>#REF!</v>
      </c>
      <c r="G111" t="e">
        <f>IF(OR(#REF!="UP",#REF!="DOWN"),1,0)</f>
        <v>#REF!</v>
      </c>
      <c r="H111" t="e">
        <f>IF(OR(#REF!="UP",#REF!="DOWN"),1,0)</f>
        <v>#REF!</v>
      </c>
      <c r="I111" t="e">
        <f>IF(OR(#REF!="UP",#REF!="DOWN"),1,0)</f>
        <v>#REF!</v>
      </c>
      <c r="M111" t="e">
        <f>IF(OR(#REF!="UP",#REF!="DOWN"),1,1)</f>
        <v>#REF!</v>
      </c>
      <c r="N111" t="e">
        <f>IF(OR(#REF!="UP",#REF!="DOWN"),VLOOKUP($C111,Configuración!$H$2:$K$11,3),1)</f>
        <v>#REF!</v>
      </c>
      <c r="O111" t="e">
        <f>IF(OR(#REF!="UP",#REF!="DOWN"),VLOOKUP($C111,Configuración!$H$2:$K$11,4),1)</f>
        <v>#REF!</v>
      </c>
      <c r="P111" t="e">
        <f t="shared" si="10"/>
        <v>#REF!</v>
      </c>
      <c r="Q111" t="e">
        <f t="shared" si="20"/>
        <v>#REF!</v>
      </c>
      <c r="R111" t="e">
        <f t="shared" ref="R111:R149" si="21">IF(AND(OR(D111="UP",D111="DOWN"), Q111&gt;0.9), D111, 0)</f>
        <v>#REF!</v>
      </c>
      <c r="T111" t="e">
        <f>IF(R111&lt;&gt;0,Configuración!$E$2,0)</f>
        <v>#REF!</v>
      </c>
      <c r="U111" t="e">
        <f>IF(R111&lt;&gt;0,Configuración!$F$2,0)</f>
        <v>#REF!</v>
      </c>
      <c r="V111" t="e">
        <f>IF(R111&lt;&gt;0,Configuración!$G$2,0)</f>
        <v>#REF!</v>
      </c>
      <c r="W111" t="e">
        <f t="shared" si="13"/>
        <v>#REF!</v>
      </c>
      <c r="X111" t="e">
        <f t="shared" si="14"/>
        <v>#REF!</v>
      </c>
      <c r="Z111" t="e">
        <f t="shared" si="15"/>
        <v>#REF!</v>
      </c>
      <c r="AB111" t="e">
        <f t="shared" si="16"/>
        <v>#REF!</v>
      </c>
      <c r="AG111" t="e">
        <f t="shared" si="17"/>
        <v>#REF!</v>
      </c>
      <c r="AH111" s="5" t="e">
        <f t="shared" si="18"/>
        <v>#REF!</v>
      </c>
      <c r="AI111" t="e">
        <f t="shared" si="19"/>
        <v>#REF!</v>
      </c>
    </row>
    <row r="112" spans="1:35" x14ac:dyDescent="0.55000000000000004">
      <c r="A112" s="3">
        <v>45931</v>
      </c>
      <c r="B112" s="4">
        <v>0.625</v>
      </c>
      <c r="C112" t="s">
        <v>29</v>
      </c>
      <c r="D112" t="e">
        <f>IF(COUNTIF(#REF!,"&lt;&gt;NAN")=0, 0, IF(AND(OR(#REF!=#REF!,#REF!="NAN"), OR(#REF!=#REF!,#REF!="NAN"), OR(#REF!=#REF!,#REF!="NAN")),#REF!, 0))</f>
        <v>#REF!</v>
      </c>
      <c r="E112" t="e">
        <f>IF(#REF!="NAN","",IF(
   AND(OR(#REF!=#REF!,#REF!="NAN"),
     OR(#REF!=#REF!,#REF!="NAN"),
     OR(#REF!=#REF!,#REF!="NAN")),
   1,
   0))</f>
        <v>#REF!</v>
      </c>
      <c r="G112" t="e">
        <f>IF(OR(#REF!="UP",#REF!="DOWN"),1,0)</f>
        <v>#REF!</v>
      </c>
      <c r="H112" t="e">
        <f>IF(OR(#REF!="UP",#REF!="DOWN"),1,0)</f>
        <v>#REF!</v>
      </c>
      <c r="I112" t="e">
        <f>IF(OR(#REF!="UP",#REF!="DOWN"),1,0)</f>
        <v>#REF!</v>
      </c>
      <c r="M112" t="e">
        <f>IF(OR(#REF!="UP",#REF!="DOWN"),1,1)</f>
        <v>#REF!</v>
      </c>
      <c r="N112" t="e">
        <f>IF(OR(#REF!="UP",#REF!="DOWN"),VLOOKUP($C112,Configuración!$H$2:$K$11,3),1)</f>
        <v>#REF!</v>
      </c>
      <c r="O112" t="e">
        <f>IF(OR(#REF!="UP",#REF!="DOWN"),VLOOKUP($C112,Configuración!$H$2:$K$11,4),1)</f>
        <v>#REF!</v>
      </c>
      <c r="P112" t="e">
        <f t="shared" si="10"/>
        <v>#REF!</v>
      </c>
      <c r="Q112" t="e">
        <f t="shared" si="20"/>
        <v>#REF!</v>
      </c>
      <c r="R112" t="e">
        <f t="shared" si="21"/>
        <v>#REF!</v>
      </c>
      <c r="T112" t="e">
        <f>IF(R112&lt;&gt;0,Configuración!$E$2,0)</f>
        <v>#REF!</v>
      </c>
      <c r="U112" t="e">
        <f>IF(R112&lt;&gt;0,Configuración!$F$2,0)</f>
        <v>#REF!</v>
      </c>
      <c r="V112" t="e">
        <f>IF(R112&lt;&gt;0,Configuración!$G$2,0)</f>
        <v>#REF!</v>
      </c>
      <c r="W112" t="e">
        <f t="shared" si="13"/>
        <v>#REF!</v>
      </c>
      <c r="X112" t="e">
        <f t="shared" si="14"/>
        <v>#REF!</v>
      </c>
      <c r="Z112" t="e">
        <f t="shared" si="15"/>
        <v>#REF!</v>
      </c>
      <c r="AB112" t="e">
        <f t="shared" si="16"/>
        <v>#REF!</v>
      </c>
      <c r="AG112" t="e">
        <f t="shared" si="17"/>
        <v>#REF!</v>
      </c>
      <c r="AH112" s="5" t="e">
        <f t="shared" si="18"/>
        <v>#REF!</v>
      </c>
      <c r="AI112" t="e">
        <f t="shared" si="19"/>
        <v>#REF!</v>
      </c>
    </row>
    <row r="113" spans="1:35" x14ac:dyDescent="0.55000000000000004">
      <c r="A113" s="3">
        <v>45931</v>
      </c>
      <c r="B113" s="4">
        <v>0.625</v>
      </c>
      <c r="C113" t="s">
        <v>31</v>
      </c>
      <c r="D113" t="e">
        <f>IF(COUNTIF(#REF!,"&lt;&gt;NAN")=0, 0, IF(AND(OR(#REF!=#REF!,#REF!="NAN"), OR(#REF!=#REF!,#REF!="NAN"), OR(#REF!=#REF!,#REF!="NAN")),#REF!, 0))</f>
        <v>#REF!</v>
      </c>
      <c r="E113" t="e">
        <f>IF(#REF!="NAN","",IF(
   AND(OR(#REF!=#REF!,#REF!="NAN"),
     OR(#REF!=#REF!,#REF!="NAN"),
     OR(#REF!=#REF!,#REF!="NAN")),
   1,
   0))</f>
        <v>#REF!</v>
      </c>
      <c r="G113" t="e">
        <f>IF(OR(#REF!="UP",#REF!="DOWN"),1,0)</f>
        <v>#REF!</v>
      </c>
      <c r="H113" t="e">
        <f>IF(OR(#REF!="UP",#REF!="DOWN"),1,0)</f>
        <v>#REF!</v>
      </c>
      <c r="I113" t="e">
        <f>IF(OR(#REF!="UP",#REF!="DOWN"),1,0)</f>
        <v>#REF!</v>
      </c>
      <c r="M113" t="e">
        <f>IF(OR(#REF!="UP",#REF!="DOWN"),1,1)</f>
        <v>#REF!</v>
      </c>
      <c r="N113" t="e">
        <f>IF(OR(#REF!="UP",#REF!="DOWN"),VLOOKUP($C113,Configuración!$H$2:$K$11,3),1)</f>
        <v>#REF!</v>
      </c>
      <c r="O113" t="e">
        <f>IF(OR(#REF!="UP",#REF!="DOWN"),VLOOKUP($C113,Configuración!$H$2:$K$11,4),1)</f>
        <v>#REF!</v>
      </c>
      <c r="P113" t="e">
        <f t="shared" si="10"/>
        <v>#REF!</v>
      </c>
      <c r="Q113" t="e">
        <f t="shared" si="20"/>
        <v>#REF!</v>
      </c>
      <c r="R113" t="e">
        <f t="shared" si="21"/>
        <v>#REF!</v>
      </c>
      <c r="T113" t="e">
        <f>IF(R113&lt;&gt;0,Configuración!$E$2,0)</f>
        <v>#REF!</v>
      </c>
      <c r="U113" t="e">
        <f>IF(R113&lt;&gt;0,Configuración!$F$2,0)</f>
        <v>#REF!</v>
      </c>
      <c r="V113" t="e">
        <f>IF(R113&lt;&gt;0,Configuración!$G$2,0)</f>
        <v>#REF!</v>
      </c>
      <c r="W113" t="e">
        <f t="shared" si="13"/>
        <v>#REF!</v>
      </c>
      <c r="X113" t="e">
        <f t="shared" si="14"/>
        <v>#REF!</v>
      </c>
      <c r="Z113" t="e">
        <f t="shared" si="15"/>
        <v>#REF!</v>
      </c>
      <c r="AB113" t="e">
        <f t="shared" si="16"/>
        <v>#REF!</v>
      </c>
      <c r="AG113" t="e">
        <f t="shared" si="17"/>
        <v>#REF!</v>
      </c>
      <c r="AH113" s="5" t="e">
        <f t="shared" si="18"/>
        <v>#REF!</v>
      </c>
      <c r="AI113" t="e">
        <f t="shared" si="19"/>
        <v>#REF!</v>
      </c>
    </row>
    <row r="114" spans="1:35" x14ac:dyDescent="0.55000000000000004">
      <c r="A114" s="3">
        <v>45932</v>
      </c>
      <c r="C114" t="s">
        <v>32</v>
      </c>
      <c r="D114" t="e">
        <f>IF(COUNTIF(#REF!,"&lt;&gt;NAN")=0, 0, IF(AND(OR(#REF!=#REF!,#REF!="NAN"), OR(#REF!=#REF!,#REF!="NAN"), OR(#REF!=#REF!,#REF!="NAN")),#REF!, 0))</f>
        <v>#REF!</v>
      </c>
      <c r="E114" t="e">
        <f>IF(#REF!="NAN","",IF(
   AND(OR(#REF!=#REF!,#REF!="NAN"),
     OR(#REF!=#REF!,#REF!="NAN"),
     OR(#REF!=#REF!,#REF!="NAN")),
   1,
   0))</f>
        <v>#REF!</v>
      </c>
      <c r="G114" t="e">
        <f>IF(OR(#REF!="UP",#REF!="DOWN"),1,0)</f>
        <v>#REF!</v>
      </c>
      <c r="H114" t="e">
        <f>IF(OR(#REF!="UP",#REF!="DOWN"),1,0)</f>
        <v>#REF!</v>
      </c>
      <c r="I114" t="e">
        <f>IF(OR(#REF!="UP",#REF!="DOWN"),1,0)</f>
        <v>#REF!</v>
      </c>
      <c r="M114" t="e">
        <f>IF(OR(#REF!="UP",#REF!="DOWN"),1,1)</f>
        <v>#REF!</v>
      </c>
      <c r="N114" t="e">
        <f>IF(OR(#REF!="UP",#REF!="DOWN"),VLOOKUP($C114,Configuración!$H$2:$K$11,3),1)</f>
        <v>#REF!</v>
      </c>
      <c r="O114" t="e">
        <f>IF(OR(#REF!="UP",#REF!="DOWN"),VLOOKUP($C114,Configuración!$H$2:$K$11,4),1)</f>
        <v>#REF!</v>
      </c>
      <c r="P114" t="e">
        <f t="shared" si="10"/>
        <v>#REF!</v>
      </c>
      <c r="Q114" t="e">
        <f t="shared" si="20"/>
        <v>#REF!</v>
      </c>
      <c r="R114" t="e">
        <f t="shared" si="21"/>
        <v>#REF!</v>
      </c>
      <c r="T114" t="e">
        <f>IF(R114&lt;&gt;0,Configuración!$E$2,0)</f>
        <v>#REF!</v>
      </c>
      <c r="U114" t="e">
        <f>IF(R114&lt;&gt;0,Configuración!$F$2,0)</f>
        <v>#REF!</v>
      </c>
      <c r="V114" t="e">
        <f>IF(R114&lt;&gt;0,Configuración!$G$2,0)</f>
        <v>#REF!</v>
      </c>
      <c r="W114" t="e">
        <f t="shared" si="13"/>
        <v>#REF!</v>
      </c>
      <c r="X114" t="e">
        <f t="shared" si="14"/>
        <v>#REF!</v>
      </c>
      <c r="Z114" t="e">
        <f t="shared" si="15"/>
        <v>#REF!</v>
      </c>
      <c r="AB114" t="e">
        <f t="shared" si="16"/>
        <v>#REF!</v>
      </c>
      <c r="AG114" t="e">
        <f t="shared" si="17"/>
        <v>#REF!</v>
      </c>
      <c r="AH114" s="5" t="e">
        <f t="shared" si="18"/>
        <v>#REF!</v>
      </c>
      <c r="AI114" t="e">
        <f t="shared" si="19"/>
        <v>#REF!</v>
      </c>
    </row>
    <row r="115" spans="1:35" x14ac:dyDescent="0.55000000000000004">
      <c r="A115" s="3">
        <v>45932</v>
      </c>
      <c r="C115" t="s">
        <v>26</v>
      </c>
      <c r="D115" t="e">
        <f>IF(COUNTIF(#REF!,"&lt;&gt;NAN")=0, 0, IF(AND(OR(#REF!=#REF!,#REF!="NAN"), OR(#REF!=#REF!,#REF!="NAN"), OR(#REF!=#REF!,#REF!="NAN")),#REF!, 0))</f>
        <v>#REF!</v>
      </c>
      <c r="E115" t="e">
        <f>IF(#REF!="NAN","",IF(
   AND(OR(#REF!=#REF!,#REF!="NAN"),
     OR(#REF!=#REF!,#REF!="NAN"),
     OR(#REF!=#REF!,#REF!="NAN")),
   1,
   0))</f>
        <v>#REF!</v>
      </c>
      <c r="G115" t="e">
        <f>IF(OR(#REF!="UP",#REF!="DOWN"),1,0)</f>
        <v>#REF!</v>
      </c>
      <c r="H115" t="e">
        <f>IF(OR(#REF!="UP",#REF!="DOWN"),1,0)</f>
        <v>#REF!</v>
      </c>
      <c r="I115" t="e">
        <f>IF(OR(#REF!="UP",#REF!="DOWN"),1,0)</f>
        <v>#REF!</v>
      </c>
      <c r="M115" t="e">
        <f>IF(OR(#REF!="UP",#REF!="DOWN"),1,1)</f>
        <v>#REF!</v>
      </c>
      <c r="N115" t="e">
        <f>IF(OR(#REF!="UP",#REF!="DOWN"),VLOOKUP($C115,Configuración!$H$2:$K$11,3),1)</f>
        <v>#REF!</v>
      </c>
      <c r="O115" t="e">
        <f>IF(OR(#REF!="UP",#REF!="DOWN"),VLOOKUP($C115,Configuración!$H$2:$K$11,4),1)</f>
        <v>#REF!</v>
      </c>
      <c r="P115" t="e">
        <f t="shared" si="10"/>
        <v>#REF!</v>
      </c>
      <c r="Q115" t="e">
        <f t="shared" si="20"/>
        <v>#REF!</v>
      </c>
      <c r="R115" t="e">
        <f t="shared" si="21"/>
        <v>#REF!</v>
      </c>
      <c r="T115" t="e">
        <f>IF(R115&lt;&gt;0,Configuración!$E$2,0)</f>
        <v>#REF!</v>
      </c>
      <c r="U115" t="e">
        <f>IF(R115&lt;&gt;0,Configuración!$F$2,0)</f>
        <v>#REF!</v>
      </c>
      <c r="V115" t="e">
        <f>IF(R115&lt;&gt;0,Configuración!$G$2,0)</f>
        <v>#REF!</v>
      </c>
      <c r="W115" t="e">
        <f t="shared" si="13"/>
        <v>#REF!</v>
      </c>
      <c r="X115" t="e">
        <f t="shared" si="14"/>
        <v>#REF!</v>
      </c>
      <c r="Z115" t="e">
        <f t="shared" si="15"/>
        <v>#REF!</v>
      </c>
      <c r="AB115" t="e">
        <f t="shared" si="16"/>
        <v>#REF!</v>
      </c>
      <c r="AG115" t="e">
        <f t="shared" si="17"/>
        <v>#REF!</v>
      </c>
      <c r="AH115" s="5" t="e">
        <f t="shared" si="18"/>
        <v>#REF!</v>
      </c>
      <c r="AI115" t="e">
        <f t="shared" si="19"/>
        <v>#REF!</v>
      </c>
    </row>
    <row r="116" spans="1:35" x14ac:dyDescent="0.55000000000000004">
      <c r="A116" s="3">
        <v>45932</v>
      </c>
      <c r="C116" t="s">
        <v>33</v>
      </c>
      <c r="D116" t="e">
        <f>IF(COUNTIF(#REF!,"&lt;&gt;NAN")=0, 0, IF(AND(OR(#REF!=#REF!,#REF!="NAN"), OR(#REF!=#REF!,#REF!="NAN"), OR(#REF!=#REF!,#REF!="NAN")),#REF!, 0))</f>
        <v>#REF!</v>
      </c>
      <c r="E116" t="e">
        <f>IF(#REF!="NAN","",IF(
   AND(OR(#REF!=#REF!,#REF!="NAN"),
     OR(#REF!=#REF!,#REF!="NAN"),
     OR(#REF!=#REF!,#REF!="NAN")),
   1,
   0))</f>
        <v>#REF!</v>
      </c>
      <c r="G116" t="e">
        <f>IF(OR(#REF!="UP",#REF!="DOWN"),1,0)</f>
        <v>#REF!</v>
      </c>
      <c r="H116" t="e">
        <f>IF(OR(#REF!="UP",#REF!="DOWN"),1,0)</f>
        <v>#REF!</v>
      </c>
      <c r="I116" t="e">
        <f>IF(OR(#REF!="UP",#REF!="DOWN"),1,0)</f>
        <v>#REF!</v>
      </c>
      <c r="M116" t="e">
        <f>IF(OR(#REF!="UP",#REF!="DOWN"),1,1)</f>
        <v>#REF!</v>
      </c>
      <c r="N116" t="e">
        <f>IF(OR(#REF!="UP",#REF!="DOWN"),VLOOKUP($C116,Configuración!$H$2:$K$11,3),1)</f>
        <v>#REF!</v>
      </c>
      <c r="O116" t="e">
        <f>IF(OR(#REF!="UP",#REF!="DOWN"),VLOOKUP($C116,Configuración!$H$2:$K$11,4),1)</f>
        <v>#REF!</v>
      </c>
      <c r="P116" t="e">
        <f t="shared" si="10"/>
        <v>#REF!</v>
      </c>
      <c r="Q116" t="e">
        <f t="shared" si="20"/>
        <v>#REF!</v>
      </c>
      <c r="R116" t="e">
        <f t="shared" si="21"/>
        <v>#REF!</v>
      </c>
      <c r="T116" t="e">
        <f>IF(R116&lt;&gt;0,Configuración!$E$2,0)</f>
        <v>#REF!</v>
      </c>
      <c r="U116" t="e">
        <f>IF(R116&lt;&gt;0,Configuración!$F$2,0)</f>
        <v>#REF!</v>
      </c>
      <c r="V116" t="e">
        <f>IF(R116&lt;&gt;0,Configuración!$G$2,0)</f>
        <v>#REF!</v>
      </c>
      <c r="W116" t="e">
        <f t="shared" si="13"/>
        <v>#REF!</v>
      </c>
      <c r="X116" t="e">
        <f t="shared" si="14"/>
        <v>#REF!</v>
      </c>
      <c r="Z116" t="e">
        <f t="shared" si="15"/>
        <v>#REF!</v>
      </c>
      <c r="AB116" t="e">
        <f t="shared" si="16"/>
        <v>#REF!</v>
      </c>
      <c r="AG116" t="e">
        <f t="shared" si="17"/>
        <v>#REF!</v>
      </c>
      <c r="AH116" s="5" t="e">
        <f t="shared" si="18"/>
        <v>#REF!</v>
      </c>
      <c r="AI116" t="e">
        <f t="shared" si="19"/>
        <v>#REF!</v>
      </c>
    </row>
    <row r="117" spans="1:35" x14ac:dyDescent="0.55000000000000004">
      <c r="A117" s="3">
        <v>45932</v>
      </c>
      <c r="C117" t="s">
        <v>35</v>
      </c>
      <c r="D117" t="e">
        <f>IF(COUNTIF(#REF!,"&lt;&gt;NAN")=0, 0, IF(AND(OR(#REF!=#REF!,#REF!="NAN"), OR(#REF!=#REF!,#REF!="NAN"), OR(#REF!=#REF!,#REF!="NAN")),#REF!, 0))</f>
        <v>#REF!</v>
      </c>
      <c r="E117" t="e">
        <f>IF(#REF!="NAN","",IF(
   AND(OR(#REF!=#REF!,#REF!="NAN"),
     OR(#REF!=#REF!,#REF!="NAN"),
     OR(#REF!=#REF!,#REF!="NAN")),
   1,
   0))</f>
        <v>#REF!</v>
      </c>
      <c r="G117" t="e">
        <f>IF(OR(#REF!="UP",#REF!="DOWN"),1,0)</f>
        <v>#REF!</v>
      </c>
      <c r="H117" t="e">
        <f>IF(OR(#REF!="UP",#REF!="DOWN"),1,0)</f>
        <v>#REF!</v>
      </c>
      <c r="I117" t="e">
        <f>IF(OR(#REF!="UP",#REF!="DOWN"),1,0)</f>
        <v>#REF!</v>
      </c>
      <c r="M117" t="e">
        <f>IF(OR(#REF!="UP",#REF!="DOWN"),1,1)</f>
        <v>#REF!</v>
      </c>
      <c r="N117" t="e">
        <f>IF(OR(#REF!="UP",#REF!="DOWN"),VLOOKUP($C117,Configuración!$H$2:$K$11,3),1)</f>
        <v>#REF!</v>
      </c>
      <c r="O117" t="e">
        <f>IF(OR(#REF!="UP",#REF!="DOWN"),VLOOKUP($C117,Configuración!$H$2:$K$11,4),1)</f>
        <v>#REF!</v>
      </c>
      <c r="P117" t="e">
        <f t="shared" si="10"/>
        <v>#REF!</v>
      </c>
      <c r="Q117" t="e">
        <f t="shared" si="20"/>
        <v>#REF!</v>
      </c>
      <c r="R117" t="e">
        <f t="shared" si="21"/>
        <v>#REF!</v>
      </c>
      <c r="T117" t="e">
        <f>IF(R117&lt;&gt;0,Configuración!$E$2,0)</f>
        <v>#REF!</v>
      </c>
      <c r="U117" t="e">
        <f>IF(R117&lt;&gt;0,Configuración!$F$2,0)</f>
        <v>#REF!</v>
      </c>
      <c r="V117" t="e">
        <f>IF(R117&lt;&gt;0,Configuración!$G$2,0)</f>
        <v>#REF!</v>
      </c>
      <c r="W117" t="e">
        <f t="shared" si="13"/>
        <v>#REF!</v>
      </c>
      <c r="X117" t="e">
        <f t="shared" si="14"/>
        <v>#REF!</v>
      </c>
      <c r="Z117" t="e">
        <f t="shared" si="15"/>
        <v>#REF!</v>
      </c>
      <c r="AB117" t="e">
        <f t="shared" si="16"/>
        <v>#REF!</v>
      </c>
      <c r="AG117" t="e">
        <f t="shared" si="17"/>
        <v>#REF!</v>
      </c>
      <c r="AH117" s="5" t="e">
        <f t="shared" si="18"/>
        <v>#REF!</v>
      </c>
      <c r="AI117" t="e">
        <f t="shared" si="19"/>
        <v>#REF!</v>
      </c>
    </row>
    <row r="118" spans="1:35" x14ac:dyDescent="0.55000000000000004">
      <c r="A118" s="3">
        <v>45932</v>
      </c>
      <c r="C118" t="s">
        <v>34</v>
      </c>
      <c r="D118" t="e">
        <f>IF(COUNTIF(#REF!,"&lt;&gt;NAN")=0, 0, IF(AND(OR(#REF!=#REF!,#REF!="NAN"), OR(#REF!=#REF!,#REF!="NAN"), OR(#REF!=#REF!,#REF!="NAN")),#REF!, 0))</f>
        <v>#REF!</v>
      </c>
      <c r="E118" t="e">
        <f>IF(#REF!="NAN","",IF(
   AND(OR(#REF!=#REF!,#REF!="NAN"),
     OR(#REF!=#REF!,#REF!="NAN"),
     OR(#REF!=#REF!,#REF!="NAN")),
   1,
   0))</f>
        <v>#REF!</v>
      </c>
      <c r="G118" t="e">
        <f>IF(OR(#REF!="UP",#REF!="DOWN"),1,0)</f>
        <v>#REF!</v>
      </c>
      <c r="H118" t="e">
        <f>IF(OR(#REF!="UP",#REF!="DOWN"),1,0)</f>
        <v>#REF!</v>
      </c>
      <c r="I118" t="e">
        <f>IF(OR(#REF!="UP",#REF!="DOWN"),1,0)</f>
        <v>#REF!</v>
      </c>
      <c r="M118" t="e">
        <f>IF(OR(#REF!="UP",#REF!="DOWN"),1,1)</f>
        <v>#REF!</v>
      </c>
      <c r="N118" t="e">
        <f>IF(OR(#REF!="UP",#REF!="DOWN"),VLOOKUP($C118,Configuración!$H$2:$K$11,3),1)</f>
        <v>#REF!</v>
      </c>
      <c r="O118" t="e">
        <f>IF(OR(#REF!="UP",#REF!="DOWN"),VLOOKUP($C118,Configuración!$H$2:$K$11,4),1)</f>
        <v>#REF!</v>
      </c>
      <c r="P118" t="e">
        <f t="shared" si="10"/>
        <v>#REF!</v>
      </c>
      <c r="Q118" t="e">
        <f t="shared" si="20"/>
        <v>#REF!</v>
      </c>
      <c r="R118" t="e">
        <f t="shared" si="21"/>
        <v>#REF!</v>
      </c>
      <c r="T118" t="e">
        <f>IF(R118&lt;&gt;0,Configuración!$E$2,0)</f>
        <v>#REF!</v>
      </c>
      <c r="U118" t="e">
        <f>IF(R118&lt;&gt;0,Configuración!$F$2,0)</f>
        <v>#REF!</v>
      </c>
      <c r="V118" t="e">
        <f>IF(R118&lt;&gt;0,Configuración!$G$2,0)</f>
        <v>#REF!</v>
      </c>
      <c r="W118" t="e">
        <f t="shared" si="13"/>
        <v>#REF!</v>
      </c>
      <c r="X118" t="e">
        <f t="shared" si="14"/>
        <v>#REF!</v>
      </c>
      <c r="Z118" t="e">
        <f t="shared" si="15"/>
        <v>#REF!</v>
      </c>
      <c r="AB118" t="e">
        <f t="shared" si="16"/>
        <v>#REF!</v>
      </c>
      <c r="AG118" t="e">
        <f t="shared" si="17"/>
        <v>#REF!</v>
      </c>
      <c r="AH118" s="5" t="e">
        <f t="shared" si="18"/>
        <v>#REF!</v>
      </c>
      <c r="AI118" t="e">
        <f t="shared" si="19"/>
        <v>#REF!</v>
      </c>
    </row>
    <row r="119" spans="1:35" x14ac:dyDescent="0.55000000000000004">
      <c r="A119" s="3">
        <v>45932</v>
      </c>
      <c r="C119" t="s">
        <v>27</v>
      </c>
      <c r="D119" t="e">
        <f>IF(COUNTIF(#REF!,"&lt;&gt;NAN")=0, 0, IF(AND(OR(#REF!=#REF!,#REF!="NAN"), OR(#REF!=#REF!,#REF!="NAN"), OR(#REF!=#REF!,#REF!="NAN")),#REF!, 0))</f>
        <v>#REF!</v>
      </c>
      <c r="E119" t="e">
        <f>IF(#REF!="NAN","",IF(
   AND(OR(#REF!=#REF!,#REF!="NAN"),
     OR(#REF!=#REF!,#REF!="NAN"),
     OR(#REF!=#REF!,#REF!="NAN")),
   1,
   0))</f>
        <v>#REF!</v>
      </c>
      <c r="G119" t="e">
        <f>IF(OR(#REF!="UP",#REF!="DOWN"),1,0)</f>
        <v>#REF!</v>
      </c>
      <c r="H119" t="e">
        <f>IF(OR(#REF!="UP",#REF!="DOWN"),1,0)</f>
        <v>#REF!</v>
      </c>
      <c r="I119" t="e">
        <f>IF(OR(#REF!="UP",#REF!="DOWN"),1,0)</f>
        <v>#REF!</v>
      </c>
      <c r="M119" t="e">
        <f>IF(OR(#REF!="UP",#REF!="DOWN"),1,1)</f>
        <v>#REF!</v>
      </c>
      <c r="N119" t="e">
        <f>IF(OR(#REF!="UP",#REF!="DOWN"),VLOOKUP($C119,Configuración!$H$2:$K$11,3),1)</f>
        <v>#REF!</v>
      </c>
      <c r="O119" t="e">
        <f>IF(OR(#REF!="UP",#REF!="DOWN"),VLOOKUP($C119,Configuración!$H$2:$K$11,4),1)</f>
        <v>#REF!</v>
      </c>
      <c r="P119" t="e">
        <f t="shared" si="10"/>
        <v>#REF!</v>
      </c>
      <c r="Q119" t="e">
        <f t="shared" si="20"/>
        <v>#REF!</v>
      </c>
      <c r="R119" t="e">
        <f t="shared" si="21"/>
        <v>#REF!</v>
      </c>
      <c r="T119" t="e">
        <f>IF(R119&lt;&gt;0,Configuración!$E$2,0)</f>
        <v>#REF!</v>
      </c>
      <c r="U119" t="e">
        <f>IF(R119&lt;&gt;0,Configuración!$F$2,0)</f>
        <v>#REF!</v>
      </c>
      <c r="V119" t="e">
        <f>IF(R119&lt;&gt;0,Configuración!$G$2,0)</f>
        <v>#REF!</v>
      </c>
      <c r="W119" t="e">
        <f t="shared" si="13"/>
        <v>#REF!</v>
      </c>
      <c r="X119" t="e">
        <f t="shared" si="14"/>
        <v>#REF!</v>
      </c>
      <c r="Z119" t="e">
        <f t="shared" si="15"/>
        <v>#REF!</v>
      </c>
      <c r="AB119" t="e">
        <f t="shared" si="16"/>
        <v>#REF!</v>
      </c>
      <c r="AG119" t="e">
        <f t="shared" si="17"/>
        <v>#REF!</v>
      </c>
      <c r="AH119" s="5" t="e">
        <f t="shared" si="18"/>
        <v>#REF!</v>
      </c>
      <c r="AI119" t="e">
        <f t="shared" si="19"/>
        <v>#REF!</v>
      </c>
    </row>
    <row r="120" spans="1:35" x14ac:dyDescent="0.55000000000000004">
      <c r="A120" s="3">
        <v>45932</v>
      </c>
      <c r="C120" t="s">
        <v>28</v>
      </c>
      <c r="D120" t="e">
        <f>IF(COUNTIF(#REF!,"&lt;&gt;NAN")=0, 0, IF(AND(OR(#REF!=#REF!,#REF!="NAN"), OR(#REF!=#REF!,#REF!="NAN"), OR(#REF!=#REF!,#REF!="NAN")),#REF!, 0))</f>
        <v>#REF!</v>
      </c>
      <c r="E120" t="e">
        <f>IF(#REF!="NAN","",IF(
   AND(OR(#REF!=#REF!,#REF!="NAN"),
     OR(#REF!=#REF!,#REF!="NAN"),
     OR(#REF!=#REF!,#REF!="NAN")),
   1,
   0))</f>
        <v>#REF!</v>
      </c>
      <c r="G120" t="e">
        <f>IF(OR(#REF!="UP",#REF!="DOWN"),1,0)</f>
        <v>#REF!</v>
      </c>
      <c r="H120" t="e">
        <f>IF(OR(#REF!="UP",#REF!="DOWN"),1,0)</f>
        <v>#REF!</v>
      </c>
      <c r="I120" t="e">
        <f>IF(OR(#REF!="UP",#REF!="DOWN"),1,0)</f>
        <v>#REF!</v>
      </c>
      <c r="M120" t="e">
        <f>IF(OR(#REF!="UP",#REF!="DOWN"),1,1)</f>
        <v>#REF!</v>
      </c>
      <c r="N120" t="e">
        <f>IF(OR(#REF!="UP",#REF!="DOWN"),VLOOKUP($C120,Configuración!$H$2:$K$11,3),1)</f>
        <v>#REF!</v>
      </c>
      <c r="O120" t="e">
        <f>IF(OR(#REF!="UP",#REF!="DOWN"),VLOOKUP($C120,Configuración!$H$2:$K$11,4),1)</f>
        <v>#REF!</v>
      </c>
      <c r="P120" t="e">
        <f t="shared" si="10"/>
        <v>#REF!</v>
      </c>
      <c r="Q120" t="e">
        <f t="shared" si="20"/>
        <v>#REF!</v>
      </c>
      <c r="R120" t="e">
        <f t="shared" si="21"/>
        <v>#REF!</v>
      </c>
      <c r="T120" t="e">
        <f>IF(R120&lt;&gt;0,Configuración!$E$2,0)</f>
        <v>#REF!</v>
      </c>
      <c r="U120" t="e">
        <f>IF(R120&lt;&gt;0,Configuración!$F$2,0)</f>
        <v>#REF!</v>
      </c>
      <c r="V120" t="e">
        <f>IF(R120&lt;&gt;0,Configuración!$G$2,0)</f>
        <v>#REF!</v>
      </c>
      <c r="W120" t="e">
        <f t="shared" si="13"/>
        <v>#REF!</v>
      </c>
      <c r="X120" t="e">
        <f t="shared" si="14"/>
        <v>#REF!</v>
      </c>
      <c r="Z120" t="e">
        <f t="shared" si="15"/>
        <v>#REF!</v>
      </c>
      <c r="AB120" t="e">
        <f t="shared" si="16"/>
        <v>#REF!</v>
      </c>
      <c r="AG120" t="e">
        <f t="shared" si="17"/>
        <v>#REF!</v>
      </c>
      <c r="AH120" s="5" t="e">
        <f t="shared" si="18"/>
        <v>#REF!</v>
      </c>
      <c r="AI120" t="e">
        <f t="shared" si="19"/>
        <v>#REF!</v>
      </c>
    </row>
    <row r="121" spans="1:35" x14ac:dyDescent="0.55000000000000004">
      <c r="A121" s="3">
        <v>45932</v>
      </c>
      <c r="C121" t="s">
        <v>30</v>
      </c>
      <c r="D121" t="e">
        <f>IF(COUNTIF(#REF!,"&lt;&gt;NAN")=0, 0, IF(AND(OR(#REF!=#REF!,#REF!="NAN"), OR(#REF!=#REF!,#REF!="NAN"), OR(#REF!=#REF!,#REF!="NAN")),#REF!, 0))</f>
        <v>#REF!</v>
      </c>
      <c r="E121" t="e">
        <f>IF(#REF!="NAN","",IF(
   AND(OR(#REF!=#REF!,#REF!="NAN"),
     OR(#REF!=#REF!,#REF!="NAN"),
     OR(#REF!=#REF!,#REF!="NAN")),
   1,
   0))</f>
        <v>#REF!</v>
      </c>
      <c r="G121" t="e">
        <f>IF(OR(#REF!="UP",#REF!="DOWN"),1,0)</f>
        <v>#REF!</v>
      </c>
      <c r="H121" t="e">
        <f>IF(OR(#REF!="UP",#REF!="DOWN"),1,0)</f>
        <v>#REF!</v>
      </c>
      <c r="I121" t="e">
        <f>IF(OR(#REF!="UP",#REF!="DOWN"),1,0)</f>
        <v>#REF!</v>
      </c>
      <c r="M121" t="e">
        <f>IF(OR(#REF!="UP",#REF!="DOWN"),1,1)</f>
        <v>#REF!</v>
      </c>
      <c r="N121" t="e">
        <f>IF(OR(#REF!="UP",#REF!="DOWN"),VLOOKUP($C121,Configuración!$H$2:$K$11,3),1)</f>
        <v>#REF!</v>
      </c>
      <c r="O121" t="e">
        <f>IF(OR(#REF!="UP",#REF!="DOWN"),VLOOKUP($C121,Configuración!$H$2:$K$11,4),1)</f>
        <v>#REF!</v>
      </c>
      <c r="P121" t="e">
        <f t="shared" si="10"/>
        <v>#REF!</v>
      </c>
      <c r="Q121" t="e">
        <f t="shared" si="20"/>
        <v>#REF!</v>
      </c>
      <c r="R121" t="e">
        <f t="shared" si="21"/>
        <v>#REF!</v>
      </c>
      <c r="T121" t="e">
        <f>IF(R121&lt;&gt;0,Configuración!$E$2,0)</f>
        <v>#REF!</v>
      </c>
      <c r="U121" t="e">
        <f>IF(R121&lt;&gt;0,Configuración!$F$2,0)</f>
        <v>#REF!</v>
      </c>
      <c r="V121" t="e">
        <f>IF(R121&lt;&gt;0,Configuración!$G$2,0)</f>
        <v>#REF!</v>
      </c>
      <c r="W121" t="e">
        <f t="shared" si="13"/>
        <v>#REF!</v>
      </c>
      <c r="X121" t="e">
        <f t="shared" si="14"/>
        <v>#REF!</v>
      </c>
      <c r="Z121" t="e">
        <f t="shared" si="15"/>
        <v>#REF!</v>
      </c>
      <c r="AB121" t="e">
        <f t="shared" si="16"/>
        <v>#REF!</v>
      </c>
      <c r="AG121" t="e">
        <f t="shared" si="17"/>
        <v>#REF!</v>
      </c>
      <c r="AH121" s="5" t="e">
        <f t="shared" si="18"/>
        <v>#REF!</v>
      </c>
      <c r="AI121" t="e">
        <f t="shared" si="19"/>
        <v>#REF!</v>
      </c>
    </row>
    <row r="122" spans="1:35" x14ac:dyDescent="0.55000000000000004">
      <c r="A122" s="3">
        <v>45932</v>
      </c>
      <c r="C122" t="s">
        <v>29</v>
      </c>
      <c r="D122" t="e">
        <f>IF(COUNTIF(#REF!,"&lt;&gt;NAN")=0, 0, IF(AND(OR(#REF!=#REF!,#REF!="NAN"), OR(#REF!=#REF!,#REF!="NAN"), OR(#REF!=#REF!,#REF!="NAN")),#REF!, 0))</f>
        <v>#REF!</v>
      </c>
      <c r="E122" t="e">
        <f>IF(#REF!="NAN","",IF(
   AND(OR(#REF!=#REF!,#REF!="NAN"),
     OR(#REF!=#REF!,#REF!="NAN"),
     OR(#REF!=#REF!,#REF!="NAN")),
   1,
   0))</f>
        <v>#REF!</v>
      </c>
      <c r="G122" t="e">
        <f>IF(OR(#REF!="UP",#REF!="DOWN"),1,0)</f>
        <v>#REF!</v>
      </c>
      <c r="H122" t="e">
        <f>IF(OR(#REF!="UP",#REF!="DOWN"),1,0)</f>
        <v>#REF!</v>
      </c>
      <c r="I122" t="e">
        <f>IF(OR(#REF!="UP",#REF!="DOWN"),1,0)</f>
        <v>#REF!</v>
      </c>
      <c r="M122" t="e">
        <f>IF(OR(#REF!="UP",#REF!="DOWN"),1,1)</f>
        <v>#REF!</v>
      </c>
      <c r="N122" t="e">
        <f>IF(OR(#REF!="UP",#REF!="DOWN"),VLOOKUP($C122,Configuración!$H$2:$K$11,3),1)</f>
        <v>#REF!</v>
      </c>
      <c r="O122" t="e">
        <f>IF(OR(#REF!="UP",#REF!="DOWN"),VLOOKUP($C122,Configuración!$H$2:$K$11,4),1)</f>
        <v>#REF!</v>
      </c>
      <c r="P122" t="e">
        <f t="shared" si="10"/>
        <v>#REF!</v>
      </c>
      <c r="Q122" t="e">
        <f t="shared" si="20"/>
        <v>#REF!</v>
      </c>
      <c r="R122" t="e">
        <f t="shared" si="21"/>
        <v>#REF!</v>
      </c>
      <c r="T122" t="e">
        <f>IF(R122&lt;&gt;0,Configuración!$E$2,0)</f>
        <v>#REF!</v>
      </c>
      <c r="U122" t="e">
        <f>IF(R122&lt;&gt;0,Configuración!$F$2,0)</f>
        <v>#REF!</v>
      </c>
      <c r="V122" t="e">
        <f>IF(R122&lt;&gt;0,Configuración!$G$2,0)</f>
        <v>#REF!</v>
      </c>
      <c r="W122" t="e">
        <f t="shared" si="13"/>
        <v>#REF!</v>
      </c>
      <c r="X122" t="e">
        <f t="shared" si="14"/>
        <v>#REF!</v>
      </c>
      <c r="Z122" t="e">
        <f t="shared" si="15"/>
        <v>#REF!</v>
      </c>
      <c r="AB122" t="e">
        <f t="shared" si="16"/>
        <v>#REF!</v>
      </c>
      <c r="AG122" t="e">
        <f t="shared" si="17"/>
        <v>#REF!</v>
      </c>
      <c r="AH122" s="5" t="e">
        <f t="shared" si="18"/>
        <v>#REF!</v>
      </c>
      <c r="AI122" t="e">
        <f t="shared" si="19"/>
        <v>#REF!</v>
      </c>
    </row>
    <row r="123" spans="1:35" x14ac:dyDescent="0.55000000000000004">
      <c r="A123" s="3">
        <v>45932</v>
      </c>
      <c r="C123" t="s">
        <v>31</v>
      </c>
      <c r="D123" t="e">
        <f>IF(COUNTIF(#REF!,"&lt;&gt;NAN")=0, 0, IF(AND(OR(#REF!=#REF!,#REF!="NAN"), OR(#REF!=#REF!,#REF!="NAN"), OR(#REF!=#REF!,#REF!="NAN")),#REF!, 0))</f>
        <v>#REF!</v>
      </c>
      <c r="E123" t="e">
        <f>IF(#REF!="NAN","",IF(
   AND(OR(#REF!=#REF!,#REF!="NAN"),
     OR(#REF!=#REF!,#REF!="NAN"),
     OR(#REF!=#REF!,#REF!="NAN")),
   1,
   0))</f>
        <v>#REF!</v>
      </c>
      <c r="G123" t="e">
        <f>IF(OR(#REF!="UP",#REF!="DOWN"),1,0)</f>
        <v>#REF!</v>
      </c>
      <c r="H123" t="e">
        <f>IF(OR(#REF!="UP",#REF!="DOWN"),1,0)</f>
        <v>#REF!</v>
      </c>
      <c r="I123" t="e">
        <f>IF(OR(#REF!="UP",#REF!="DOWN"),1,0)</f>
        <v>#REF!</v>
      </c>
      <c r="M123" t="e">
        <f>IF(OR(#REF!="UP",#REF!="DOWN"),1,1)</f>
        <v>#REF!</v>
      </c>
      <c r="N123" t="e">
        <f>IF(OR(#REF!="UP",#REF!="DOWN"),VLOOKUP($C123,Configuración!$H$2:$K$11,3),1)</f>
        <v>#REF!</v>
      </c>
      <c r="O123" t="e">
        <f>IF(OR(#REF!="UP",#REF!="DOWN"),VLOOKUP($C123,Configuración!$H$2:$K$11,4),1)</f>
        <v>#REF!</v>
      </c>
      <c r="P123" t="e">
        <f t="shared" si="10"/>
        <v>#REF!</v>
      </c>
      <c r="Q123" t="e">
        <f t="shared" si="20"/>
        <v>#REF!</v>
      </c>
      <c r="R123" t="e">
        <f t="shared" si="21"/>
        <v>#REF!</v>
      </c>
      <c r="T123" t="e">
        <f>IF(R123&lt;&gt;0,Configuración!$E$2,0)</f>
        <v>#REF!</v>
      </c>
      <c r="U123" t="e">
        <f>IF(R123&lt;&gt;0,Configuración!$F$2,0)</f>
        <v>#REF!</v>
      </c>
      <c r="V123" t="e">
        <f>IF(R123&lt;&gt;0,Configuración!$G$2,0)</f>
        <v>#REF!</v>
      </c>
      <c r="W123" t="e">
        <f t="shared" si="13"/>
        <v>#REF!</v>
      </c>
      <c r="X123" t="e">
        <f t="shared" si="14"/>
        <v>#REF!</v>
      </c>
      <c r="Z123" t="e">
        <f t="shared" si="15"/>
        <v>#REF!</v>
      </c>
      <c r="AB123" t="e">
        <f t="shared" si="16"/>
        <v>#REF!</v>
      </c>
      <c r="AG123" t="e">
        <f t="shared" si="17"/>
        <v>#REF!</v>
      </c>
      <c r="AH123" s="5" t="e">
        <f t="shared" si="18"/>
        <v>#REF!</v>
      </c>
      <c r="AI123" t="e">
        <f t="shared" si="19"/>
        <v>#REF!</v>
      </c>
    </row>
    <row r="124" spans="1:35" x14ac:dyDescent="0.55000000000000004">
      <c r="C124" t="s">
        <v>32</v>
      </c>
      <c r="D124" t="e">
        <f>IF(COUNTIF(#REF!,"&lt;&gt;NAN")=0, 0, IF(AND(OR(#REF!=#REF!,#REF!="NAN"), OR(#REF!=#REF!,#REF!="NAN"), OR(#REF!=#REF!,#REF!="NAN")),#REF!, 0))</f>
        <v>#REF!</v>
      </c>
      <c r="E124" t="e">
        <f>IF(#REF!="NAN","",IF(
   AND(OR(#REF!=#REF!,#REF!="NAN"),
     OR(#REF!=#REF!,#REF!="NAN"),
     OR(#REF!=#REF!,#REF!="NAN")),
   1,
   0))</f>
        <v>#REF!</v>
      </c>
      <c r="G124" t="e">
        <f>IF(OR(#REF!="UP",#REF!="DOWN"),1,0)</f>
        <v>#REF!</v>
      </c>
      <c r="H124" t="e">
        <f>IF(OR(#REF!="UP",#REF!="DOWN"),1,0)</f>
        <v>#REF!</v>
      </c>
      <c r="I124" t="e">
        <f>IF(OR(#REF!="UP",#REF!="DOWN"),1,0)</f>
        <v>#REF!</v>
      </c>
      <c r="M124" t="e">
        <f>IF(OR(#REF!="UP",#REF!="DOWN"),1,1)</f>
        <v>#REF!</v>
      </c>
      <c r="N124" t="e">
        <f>IF(OR(#REF!="UP",#REF!="DOWN"),VLOOKUP($C124,Configuración!$H$2:$K$11,3),1)</f>
        <v>#REF!</v>
      </c>
      <c r="O124" t="e">
        <f>IF(OR(#REF!="UP",#REF!="DOWN"),VLOOKUP($C124,Configuración!$H$2:$K$11,4),1)</f>
        <v>#REF!</v>
      </c>
      <c r="P124" t="e">
        <f t="shared" si="10"/>
        <v>#REF!</v>
      </c>
      <c r="Q124" t="e">
        <f t="shared" si="20"/>
        <v>#REF!</v>
      </c>
      <c r="R124" t="e">
        <f t="shared" si="21"/>
        <v>#REF!</v>
      </c>
      <c r="T124" t="e">
        <f>IF(R124&lt;&gt;0,Configuración!$E$2,0)</f>
        <v>#REF!</v>
      </c>
      <c r="U124" t="e">
        <f>IF(R124&lt;&gt;0,Configuración!$F$2,0)</f>
        <v>#REF!</v>
      </c>
      <c r="V124" t="e">
        <f>IF(R124&lt;&gt;0,Configuración!$G$2,0)</f>
        <v>#REF!</v>
      </c>
      <c r="W124" t="e">
        <f t="shared" si="13"/>
        <v>#REF!</v>
      </c>
      <c r="X124" t="e">
        <f t="shared" si="14"/>
        <v>#REF!</v>
      </c>
      <c r="Z124" t="e">
        <f t="shared" si="15"/>
        <v>#REF!</v>
      </c>
      <c r="AB124" t="e">
        <f t="shared" si="16"/>
        <v>#REF!</v>
      </c>
      <c r="AG124" t="e">
        <f t="shared" si="17"/>
        <v>#REF!</v>
      </c>
      <c r="AH124" s="5" t="e">
        <f t="shared" si="18"/>
        <v>#REF!</v>
      </c>
      <c r="AI124" t="e">
        <f t="shared" si="19"/>
        <v>#REF!</v>
      </c>
    </row>
    <row r="125" spans="1:35" x14ac:dyDescent="0.55000000000000004">
      <c r="C125" t="s">
        <v>26</v>
      </c>
      <c r="D125" t="e">
        <f>IF(COUNTIF(#REF!,"&lt;&gt;NAN")=0, 0, IF(AND(OR(#REF!=#REF!,#REF!="NAN"), OR(#REF!=#REF!,#REF!="NAN"), OR(#REF!=#REF!,#REF!="NAN")),#REF!, 0))</f>
        <v>#REF!</v>
      </c>
      <c r="E125" t="e">
        <f>IF(#REF!="NAN","",IF(
   AND(OR(#REF!=#REF!,#REF!="NAN"),
     OR(#REF!=#REF!,#REF!="NAN"),
     OR(#REF!=#REF!,#REF!="NAN")),
   1,
   0))</f>
        <v>#REF!</v>
      </c>
      <c r="G125" t="e">
        <f>IF(OR(#REF!="UP",#REF!="DOWN"),1,0)</f>
        <v>#REF!</v>
      </c>
      <c r="H125" t="e">
        <f>IF(OR(#REF!="UP",#REF!="DOWN"),1,0)</f>
        <v>#REF!</v>
      </c>
      <c r="I125" t="e">
        <f>IF(OR(#REF!="UP",#REF!="DOWN"),1,0)</f>
        <v>#REF!</v>
      </c>
      <c r="M125" t="e">
        <f>IF(OR(#REF!="UP",#REF!="DOWN"),1,1)</f>
        <v>#REF!</v>
      </c>
      <c r="N125" t="e">
        <f>IF(OR(#REF!="UP",#REF!="DOWN"),VLOOKUP($C125,Configuración!$H$2:$K$11,3),1)</f>
        <v>#REF!</v>
      </c>
      <c r="O125" t="e">
        <f>IF(OR(#REF!="UP",#REF!="DOWN"),VLOOKUP($C125,Configuración!$H$2:$K$11,4),1)</f>
        <v>#REF!</v>
      </c>
      <c r="P125" t="e">
        <f t="shared" si="10"/>
        <v>#REF!</v>
      </c>
      <c r="Q125" t="e">
        <f t="shared" si="20"/>
        <v>#REF!</v>
      </c>
      <c r="R125" t="e">
        <f t="shared" si="21"/>
        <v>#REF!</v>
      </c>
      <c r="T125" t="e">
        <f>IF(R125&lt;&gt;0,Configuración!$E$2,0)</f>
        <v>#REF!</v>
      </c>
      <c r="U125" t="e">
        <f>IF(R125&lt;&gt;0,Configuración!$F$2,0)</f>
        <v>#REF!</v>
      </c>
      <c r="V125" t="e">
        <f>IF(R125&lt;&gt;0,Configuración!$G$2,0)</f>
        <v>#REF!</v>
      </c>
      <c r="W125" t="e">
        <f t="shared" si="13"/>
        <v>#REF!</v>
      </c>
      <c r="X125" t="e">
        <f t="shared" si="14"/>
        <v>#REF!</v>
      </c>
      <c r="Z125" t="e">
        <f t="shared" si="15"/>
        <v>#REF!</v>
      </c>
      <c r="AB125" t="e">
        <f t="shared" si="16"/>
        <v>#REF!</v>
      </c>
      <c r="AG125" t="e">
        <f t="shared" si="17"/>
        <v>#REF!</v>
      </c>
      <c r="AH125" s="5" t="e">
        <f t="shared" si="18"/>
        <v>#REF!</v>
      </c>
      <c r="AI125" t="e">
        <f t="shared" si="19"/>
        <v>#REF!</v>
      </c>
    </row>
    <row r="126" spans="1:35" x14ac:dyDescent="0.55000000000000004">
      <c r="C126" t="s">
        <v>33</v>
      </c>
      <c r="D126" t="e">
        <f>IF(COUNTIF(#REF!,"&lt;&gt;NAN")=0, 0, IF(AND(OR(#REF!=#REF!,#REF!="NAN"), OR(#REF!=#REF!,#REF!="NAN"), OR(#REF!=#REF!,#REF!="NAN")),#REF!, 0))</f>
        <v>#REF!</v>
      </c>
      <c r="E126" t="e">
        <f>IF(#REF!="NAN","",IF(
   AND(OR(#REF!=#REF!,#REF!="NAN"),
     OR(#REF!=#REF!,#REF!="NAN"),
     OR(#REF!=#REF!,#REF!="NAN")),
   1,
   0))</f>
        <v>#REF!</v>
      </c>
      <c r="G126" t="e">
        <f>IF(OR(#REF!="UP",#REF!="DOWN"),1,0)</f>
        <v>#REF!</v>
      </c>
      <c r="H126" t="e">
        <f>IF(OR(#REF!="UP",#REF!="DOWN"),1,0)</f>
        <v>#REF!</v>
      </c>
      <c r="I126" t="e">
        <f>IF(OR(#REF!="UP",#REF!="DOWN"),1,0)</f>
        <v>#REF!</v>
      </c>
      <c r="M126" t="e">
        <f>IF(OR(#REF!="UP",#REF!="DOWN"),1,1)</f>
        <v>#REF!</v>
      </c>
      <c r="N126" t="e">
        <f>IF(OR(#REF!="UP",#REF!="DOWN"),VLOOKUP($C126,Configuración!$H$2:$K$11,3),1)</f>
        <v>#REF!</v>
      </c>
      <c r="O126" t="e">
        <f>IF(OR(#REF!="UP",#REF!="DOWN"),VLOOKUP($C126,Configuración!$H$2:$K$11,4),1)</f>
        <v>#REF!</v>
      </c>
      <c r="P126" t="e">
        <f t="shared" si="10"/>
        <v>#REF!</v>
      </c>
      <c r="Q126" t="e">
        <f t="shared" si="20"/>
        <v>#REF!</v>
      </c>
      <c r="R126" t="e">
        <f t="shared" si="21"/>
        <v>#REF!</v>
      </c>
      <c r="T126" t="e">
        <f>IF(R126&lt;&gt;0,Configuración!$E$2,0)</f>
        <v>#REF!</v>
      </c>
      <c r="U126" t="e">
        <f>IF(R126&lt;&gt;0,Configuración!$F$2,0)</f>
        <v>#REF!</v>
      </c>
      <c r="V126" t="e">
        <f>IF(R126&lt;&gt;0,Configuración!$G$2,0)</f>
        <v>#REF!</v>
      </c>
      <c r="W126" t="e">
        <f t="shared" si="13"/>
        <v>#REF!</v>
      </c>
      <c r="X126" t="e">
        <f t="shared" si="14"/>
        <v>#REF!</v>
      </c>
      <c r="Z126" t="e">
        <f t="shared" si="15"/>
        <v>#REF!</v>
      </c>
      <c r="AB126" t="e">
        <f t="shared" si="16"/>
        <v>#REF!</v>
      </c>
      <c r="AG126" t="e">
        <f t="shared" si="17"/>
        <v>#REF!</v>
      </c>
      <c r="AH126" s="5" t="e">
        <f t="shared" si="18"/>
        <v>#REF!</v>
      </c>
      <c r="AI126" t="e">
        <f t="shared" si="19"/>
        <v>#REF!</v>
      </c>
    </row>
    <row r="127" spans="1:35" x14ac:dyDescent="0.55000000000000004">
      <c r="C127" t="s">
        <v>35</v>
      </c>
      <c r="D127" t="e">
        <f>IF(COUNTIF(#REF!,"&lt;&gt;NAN")=0, 0, IF(AND(OR(#REF!=#REF!,#REF!="NAN"), OR(#REF!=#REF!,#REF!="NAN"), OR(#REF!=#REF!,#REF!="NAN")),#REF!, 0))</f>
        <v>#REF!</v>
      </c>
      <c r="E127" t="e">
        <f>IF(#REF!="NAN","",IF(
   AND(OR(#REF!=#REF!,#REF!="NAN"),
     OR(#REF!=#REF!,#REF!="NAN"),
     OR(#REF!=#REF!,#REF!="NAN")),
   1,
   0))</f>
        <v>#REF!</v>
      </c>
      <c r="G127" t="e">
        <f>IF(OR(#REF!="UP",#REF!="DOWN"),1,0)</f>
        <v>#REF!</v>
      </c>
      <c r="H127" t="e">
        <f>IF(OR(#REF!="UP",#REF!="DOWN"),1,0)</f>
        <v>#REF!</v>
      </c>
      <c r="I127" t="e">
        <f>IF(OR(#REF!="UP",#REF!="DOWN"),1,0)</f>
        <v>#REF!</v>
      </c>
      <c r="M127" t="e">
        <f>IF(OR(#REF!="UP",#REF!="DOWN"),1,1)</f>
        <v>#REF!</v>
      </c>
      <c r="N127" t="e">
        <f>IF(OR(#REF!="UP",#REF!="DOWN"),VLOOKUP($C127,Configuración!$H$2:$K$11,3),1)</f>
        <v>#REF!</v>
      </c>
      <c r="O127" t="e">
        <f>IF(OR(#REF!="UP",#REF!="DOWN"),VLOOKUP($C127,Configuración!$H$2:$K$11,4),1)</f>
        <v>#REF!</v>
      </c>
      <c r="P127" t="e">
        <f t="shared" si="10"/>
        <v>#REF!</v>
      </c>
      <c r="Q127" t="e">
        <f t="shared" si="20"/>
        <v>#REF!</v>
      </c>
      <c r="R127" t="e">
        <f t="shared" si="21"/>
        <v>#REF!</v>
      </c>
      <c r="T127" t="e">
        <f>IF(R127&lt;&gt;0,Configuración!$E$2,0)</f>
        <v>#REF!</v>
      </c>
      <c r="U127" t="e">
        <f>IF(R127&lt;&gt;0,Configuración!$F$2,0)</f>
        <v>#REF!</v>
      </c>
      <c r="V127" t="e">
        <f>IF(R127&lt;&gt;0,Configuración!$G$2,0)</f>
        <v>#REF!</v>
      </c>
      <c r="W127" t="e">
        <f t="shared" si="13"/>
        <v>#REF!</v>
      </c>
      <c r="X127" t="e">
        <f t="shared" si="14"/>
        <v>#REF!</v>
      </c>
      <c r="Z127" t="e">
        <f t="shared" si="15"/>
        <v>#REF!</v>
      </c>
      <c r="AB127" t="e">
        <f t="shared" si="16"/>
        <v>#REF!</v>
      </c>
      <c r="AG127" t="e">
        <f t="shared" si="17"/>
        <v>#REF!</v>
      </c>
      <c r="AH127" s="5" t="e">
        <f t="shared" si="18"/>
        <v>#REF!</v>
      </c>
      <c r="AI127" t="e">
        <f t="shared" si="19"/>
        <v>#REF!</v>
      </c>
    </row>
    <row r="128" spans="1:35" x14ac:dyDescent="0.55000000000000004">
      <c r="C128" t="s">
        <v>34</v>
      </c>
      <c r="D128" t="e">
        <f>IF(COUNTIF(#REF!,"&lt;&gt;NAN")=0, 0, IF(AND(OR(#REF!=#REF!,#REF!="NAN"), OR(#REF!=#REF!,#REF!="NAN"), OR(#REF!=#REF!,#REF!="NAN")),#REF!, 0))</f>
        <v>#REF!</v>
      </c>
      <c r="E128" t="e">
        <f>IF(#REF!="NAN","",IF(
   AND(OR(#REF!=#REF!,#REF!="NAN"),
     OR(#REF!=#REF!,#REF!="NAN"),
     OR(#REF!=#REF!,#REF!="NAN")),
   1,
   0))</f>
        <v>#REF!</v>
      </c>
      <c r="G128" t="e">
        <f>IF(OR(#REF!="UP",#REF!="DOWN"),1,0)</f>
        <v>#REF!</v>
      </c>
      <c r="H128" t="e">
        <f>IF(OR(#REF!="UP",#REF!="DOWN"),1,0)</f>
        <v>#REF!</v>
      </c>
      <c r="I128" t="e">
        <f>IF(OR(#REF!="UP",#REF!="DOWN"),1,0)</f>
        <v>#REF!</v>
      </c>
      <c r="M128" t="e">
        <f>IF(OR(#REF!="UP",#REF!="DOWN"),1,1)</f>
        <v>#REF!</v>
      </c>
      <c r="N128" t="e">
        <f>IF(OR(#REF!="UP",#REF!="DOWN"),VLOOKUP($C128,Configuración!$H$2:$K$11,3),1)</f>
        <v>#REF!</v>
      </c>
      <c r="O128" t="e">
        <f>IF(OR(#REF!="UP",#REF!="DOWN"),VLOOKUP($C128,Configuración!$H$2:$K$11,4),1)</f>
        <v>#REF!</v>
      </c>
      <c r="P128" t="e">
        <f t="shared" si="10"/>
        <v>#REF!</v>
      </c>
      <c r="Q128" t="e">
        <f t="shared" si="20"/>
        <v>#REF!</v>
      </c>
      <c r="R128" t="e">
        <f t="shared" si="21"/>
        <v>#REF!</v>
      </c>
      <c r="T128" t="e">
        <f>IF(R128&lt;&gt;0,Configuración!$E$2,0)</f>
        <v>#REF!</v>
      </c>
      <c r="U128" t="e">
        <f>IF(R128&lt;&gt;0,Configuración!$F$2,0)</f>
        <v>#REF!</v>
      </c>
      <c r="V128" t="e">
        <f>IF(R128&lt;&gt;0,Configuración!$G$2,0)</f>
        <v>#REF!</v>
      </c>
      <c r="W128" t="e">
        <f t="shared" si="13"/>
        <v>#REF!</v>
      </c>
      <c r="X128" t="e">
        <f t="shared" si="14"/>
        <v>#REF!</v>
      </c>
      <c r="Z128" t="e">
        <f t="shared" si="15"/>
        <v>#REF!</v>
      </c>
      <c r="AB128" t="e">
        <f t="shared" si="16"/>
        <v>#REF!</v>
      </c>
      <c r="AG128" t="e">
        <f t="shared" si="17"/>
        <v>#REF!</v>
      </c>
      <c r="AH128" s="5" t="e">
        <f t="shared" si="18"/>
        <v>#REF!</v>
      </c>
      <c r="AI128" t="e">
        <f t="shared" si="19"/>
        <v>#REF!</v>
      </c>
    </row>
    <row r="129" spans="1:35" x14ac:dyDescent="0.55000000000000004">
      <c r="C129" t="s">
        <v>27</v>
      </c>
      <c r="D129" t="e">
        <f>IF(COUNTIF(#REF!,"&lt;&gt;NAN")=0, 0, IF(AND(OR(#REF!=#REF!,#REF!="NAN"), OR(#REF!=#REF!,#REF!="NAN"), OR(#REF!=#REF!,#REF!="NAN")),#REF!, 0))</f>
        <v>#REF!</v>
      </c>
      <c r="E129" t="e">
        <f>IF(#REF!="NAN","",IF(
   AND(OR(#REF!=#REF!,#REF!="NAN"),
     OR(#REF!=#REF!,#REF!="NAN"),
     OR(#REF!=#REF!,#REF!="NAN")),
   1,
   0))</f>
        <v>#REF!</v>
      </c>
      <c r="G129" t="e">
        <f>IF(OR(#REF!="UP",#REF!="DOWN"),1,0)</f>
        <v>#REF!</v>
      </c>
      <c r="H129" t="e">
        <f>IF(OR(#REF!="UP",#REF!="DOWN"),1,0)</f>
        <v>#REF!</v>
      </c>
      <c r="I129" t="e">
        <f>IF(OR(#REF!="UP",#REF!="DOWN"),1,0)</f>
        <v>#REF!</v>
      </c>
      <c r="M129" t="e">
        <f>IF(OR(#REF!="UP",#REF!="DOWN"),1,1)</f>
        <v>#REF!</v>
      </c>
      <c r="N129" t="e">
        <f>IF(OR(#REF!="UP",#REF!="DOWN"),VLOOKUP($C129,Configuración!$H$2:$K$11,3),1)</f>
        <v>#REF!</v>
      </c>
      <c r="O129" t="e">
        <f>IF(OR(#REF!="UP",#REF!="DOWN"),VLOOKUP($C129,Configuración!$H$2:$K$11,4),1)</f>
        <v>#REF!</v>
      </c>
      <c r="P129" t="e">
        <f t="shared" si="10"/>
        <v>#REF!</v>
      </c>
      <c r="Q129" t="e">
        <f t="shared" si="20"/>
        <v>#REF!</v>
      </c>
      <c r="R129" t="e">
        <f t="shared" si="21"/>
        <v>#REF!</v>
      </c>
      <c r="T129" t="e">
        <f>IF(R129&lt;&gt;0,Configuración!$E$2,0)</f>
        <v>#REF!</v>
      </c>
      <c r="U129" t="e">
        <f>IF(R129&lt;&gt;0,Configuración!$F$2,0)</f>
        <v>#REF!</v>
      </c>
      <c r="V129" t="e">
        <f>IF(R129&lt;&gt;0,Configuración!$G$2,0)</f>
        <v>#REF!</v>
      </c>
      <c r="W129" t="e">
        <f t="shared" si="13"/>
        <v>#REF!</v>
      </c>
      <c r="X129" t="e">
        <f t="shared" si="14"/>
        <v>#REF!</v>
      </c>
      <c r="Z129" t="e">
        <f t="shared" si="15"/>
        <v>#REF!</v>
      </c>
      <c r="AB129" t="e">
        <f t="shared" si="16"/>
        <v>#REF!</v>
      </c>
      <c r="AG129" t="e">
        <f t="shared" si="17"/>
        <v>#REF!</v>
      </c>
      <c r="AH129" s="5" t="e">
        <f t="shared" si="18"/>
        <v>#REF!</v>
      </c>
      <c r="AI129" t="e">
        <f t="shared" si="19"/>
        <v>#REF!</v>
      </c>
    </row>
    <row r="130" spans="1:35" x14ac:dyDescent="0.55000000000000004">
      <c r="C130" t="s">
        <v>28</v>
      </c>
      <c r="D130" t="e">
        <f>IF(COUNTIF(#REF!,"&lt;&gt;NAN")=0, 0, IF(AND(OR(#REF!=#REF!,#REF!="NAN"), OR(#REF!=#REF!,#REF!="NAN"), OR(#REF!=#REF!,#REF!="NAN")),#REF!, 0))</f>
        <v>#REF!</v>
      </c>
      <c r="E130" t="e">
        <f>IF(#REF!="NAN","",IF(
   AND(OR(#REF!=#REF!,#REF!="NAN"),
     OR(#REF!=#REF!,#REF!="NAN"),
     OR(#REF!=#REF!,#REF!="NAN")),
   1,
   0))</f>
        <v>#REF!</v>
      </c>
      <c r="G130" t="e">
        <f>IF(OR(#REF!="UP",#REF!="DOWN"),1,0)</f>
        <v>#REF!</v>
      </c>
      <c r="H130" t="e">
        <f>IF(OR(#REF!="UP",#REF!="DOWN"),1,0)</f>
        <v>#REF!</v>
      </c>
      <c r="I130" t="e">
        <f>IF(OR(#REF!="UP",#REF!="DOWN"),1,0)</f>
        <v>#REF!</v>
      </c>
      <c r="M130" t="e">
        <f>IF(OR(#REF!="UP",#REF!="DOWN"),1,1)</f>
        <v>#REF!</v>
      </c>
      <c r="N130" t="e">
        <f>IF(OR(#REF!="UP",#REF!="DOWN"),VLOOKUP($C130,Configuración!$H$2:$K$11,3),1)</f>
        <v>#REF!</v>
      </c>
      <c r="O130" t="e">
        <f>IF(OR(#REF!="UP",#REF!="DOWN"),VLOOKUP($C130,Configuración!$H$2:$K$11,4),1)</f>
        <v>#REF!</v>
      </c>
      <c r="P130" t="e">
        <f t="shared" si="10"/>
        <v>#REF!</v>
      </c>
      <c r="Q130" t="e">
        <f t="shared" si="20"/>
        <v>#REF!</v>
      </c>
      <c r="R130" t="e">
        <f t="shared" si="21"/>
        <v>#REF!</v>
      </c>
      <c r="T130" t="e">
        <f>IF(R130&lt;&gt;0,Configuración!$E$2,0)</f>
        <v>#REF!</v>
      </c>
      <c r="U130" t="e">
        <f>IF(R130&lt;&gt;0,Configuración!$F$2,0)</f>
        <v>#REF!</v>
      </c>
      <c r="V130" t="e">
        <f>IF(R130&lt;&gt;0,Configuración!$G$2,0)</f>
        <v>#REF!</v>
      </c>
      <c r="W130" t="e">
        <f t="shared" si="13"/>
        <v>#REF!</v>
      </c>
      <c r="X130" t="e">
        <f t="shared" si="14"/>
        <v>#REF!</v>
      </c>
      <c r="Z130" t="e">
        <f t="shared" si="15"/>
        <v>#REF!</v>
      </c>
      <c r="AB130" t="e">
        <f t="shared" si="16"/>
        <v>#REF!</v>
      </c>
      <c r="AG130" t="e">
        <f t="shared" si="17"/>
        <v>#REF!</v>
      </c>
      <c r="AH130" s="5" t="e">
        <f t="shared" si="18"/>
        <v>#REF!</v>
      </c>
      <c r="AI130" t="e">
        <f t="shared" si="19"/>
        <v>#REF!</v>
      </c>
    </row>
    <row r="131" spans="1:35" x14ac:dyDescent="0.55000000000000004">
      <c r="C131" t="s">
        <v>30</v>
      </c>
      <c r="D131" t="e">
        <f>IF(COUNTIF(#REF!,"&lt;&gt;NAN")=0, 0, IF(AND(OR(#REF!=#REF!,#REF!="NAN"), OR(#REF!=#REF!,#REF!="NAN"), OR(#REF!=#REF!,#REF!="NAN")),#REF!, 0))</f>
        <v>#REF!</v>
      </c>
      <c r="E131" t="e">
        <f>IF(#REF!="NAN","",IF(
   AND(OR(#REF!=#REF!,#REF!="NAN"),
     OR(#REF!=#REF!,#REF!="NAN"),
     OR(#REF!=#REF!,#REF!="NAN")),
   1,
   0))</f>
        <v>#REF!</v>
      </c>
      <c r="G131" t="e">
        <f>IF(OR(#REF!="UP",#REF!="DOWN"),1,0)</f>
        <v>#REF!</v>
      </c>
      <c r="H131" t="e">
        <f>IF(OR(#REF!="UP",#REF!="DOWN"),1,0)</f>
        <v>#REF!</v>
      </c>
      <c r="I131" t="e">
        <f>IF(OR(#REF!="UP",#REF!="DOWN"),1,0)</f>
        <v>#REF!</v>
      </c>
      <c r="M131" t="e">
        <f>IF(OR(#REF!="UP",#REF!="DOWN"),1,1)</f>
        <v>#REF!</v>
      </c>
      <c r="N131" t="e">
        <f>IF(OR(#REF!="UP",#REF!="DOWN"),VLOOKUP($C131,Configuración!$H$2:$K$11,3),1)</f>
        <v>#REF!</v>
      </c>
      <c r="O131" t="e">
        <f>IF(OR(#REF!="UP",#REF!="DOWN"),VLOOKUP($C131,Configuración!$H$2:$K$11,4),1)</f>
        <v>#REF!</v>
      </c>
      <c r="P131" t="e">
        <f t="shared" si="10"/>
        <v>#REF!</v>
      </c>
      <c r="Q131" t="e">
        <f t="shared" si="20"/>
        <v>#REF!</v>
      </c>
      <c r="R131" t="e">
        <f t="shared" si="21"/>
        <v>#REF!</v>
      </c>
      <c r="T131" t="e">
        <f>IF(R131&lt;&gt;0,Configuración!$E$2,0)</f>
        <v>#REF!</v>
      </c>
      <c r="U131" t="e">
        <f>IF(R131&lt;&gt;0,Configuración!$F$2,0)</f>
        <v>#REF!</v>
      </c>
      <c r="V131" t="e">
        <f>IF(R131&lt;&gt;0,Configuración!$G$2,0)</f>
        <v>#REF!</v>
      </c>
      <c r="W131" t="e">
        <f t="shared" si="13"/>
        <v>#REF!</v>
      </c>
      <c r="X131" t="e">
        <f t="shared" si="14"/>
        <v>#REF!</v>
      </c>
      <c r="Z131" t="e">
        <f t="shared" si="15"/>
        <v>#REF!</v>
      </c>
      <c r="AB131" t="e">
        <f t="shared" si="16"/>
        <v>#REF!</v>
      </c>
      <c r="AG131" t="e">
        <f t="shared" si="17"/>
        <v>#REF!</v>
      </c>
      <c r="AH131" s="5" t="e">
        <f t="shared" si="18"/>
        <v>#REF!</v>
      </c>
      <c r="AI131" t="e">
        <f t="shared" si="19"/>
        <v>#REF!</v>
      </c>
    </row>
    <row r="132" spans="1:35" x14ac:dyDescent="0.55000000000000004">
      <c r="C132" t="s">
        <v>29</v>
      </c>
      <c r="D132" t="e">
        <f>IF(COUNTIF(#REF!,"&lt;&gt;NAN")=0, 0, IF(AND(OR(#REF!=#REF!,#REF!="NAN"), OR(#REF!=#REF!,#REF!="NAN"), OR(#REF!=#REF!,#REF!="NAN")),#REF!, 0))</f>
        <v>#REF!</v>
      </c>
      <c r="E132" t="e">
        <f>IF(#REF!="NAN","",IF(
   AND(OR(#REF!=#REF!,#REF!="NAN"),
     OR(#REF!=#REF!,#REF!="NAN"),
     OR(#REF!=#REF!,#REF!="NAN")),
   1,
   0))</f>
        <v>#REF!</v>
      </c>
      <c r="G132" t="e">
        <f>IF(OR(#REF!="UP",#REF!="DOWN"),1,0)</f>
        <v>#REF!</v>
      </c>
      <c r="H132" t="e">
        <f>IF(OR(#REF!="UP",#REF!="DOWN"),1,0)</f>
        <v>#REF!</v>
      </c>
      <c r="I132" t="e">
        <f>IF(OR(#REF!="UP",#REF!="DOWN"),1,0)</f>
        <v>#REF!</v>
      </c>
      <c r="M132" t="e">
        <f>IF(OR(#REF!="UP",#REF!="DOWN"),1,1)</f>
        <v>#REF!</v>
      </c>
      <c r="N132" t="e">
        <f>IF(OR(#REF!="UP",#REF!="DOWN"),VLOOKUP($C132,Configuración!$H$2:$K$11,3),1)</f>
        <v>#REF!</v>
      </c>
      <c r="O132" t="e">
        <f>IF(OR(#REF!="UP",#REF!="DOWN"),VLOOKUP($C132,Configuración!$H$2:$K$11,4),1)</f>
        <v>#REF!</v>
      </c>
      <c r="P132" t="e">
        <f t="shared" ref="P132:P195" si="22">IF(SUM(G132:I132)=0,
    0,
    IF(SUM(G132:I132)=1,
        G132*M132 + H132*N132 + I132*O132,
        IF(SUM(G132:I132)=2,
            1 - PRODUCT(
                IF(G132=1,1-M132,1),
                IF(H132=1,1-N132,1),
                IF(I132=1,1-O132,1)
            ),
            IF(SUM(G132:I132)=3,
                1 - PRODUCT(1-M132,1-N132,1-O132),
                0
            )
        )
    )
)</f>
        <v>#REF!</v>
      </c>
      <c r="Q132" t="e">
        <f t="shared" ref="Q132:Q195" si="23">P132*E132</f>
        <v>#REF!</v>
      </c>
      <c r="R132" t="e">
        <f t="shared" si="21"/>
        <v>#REF!</v>
      </c>
      <c r="T132" t="e">
        <f>IF(R132&lt;&gt;0,Configuración!$E$2,0)</f>
        <v>#REF!</v>
      </c>
      <c r="U132" t="e">
        <f>IF(R132&lt;&gt;0,Configuración!$F$2,0)</f>
        <v>#REF!</v>
      </c>
      <c r="V132" t="e">
        <f>IF(R132&lt;&gt;0,Configuración!$G$2,0)</f>
        <v>#REF!</v>
      </c>
      <c r="W132" t="e">
        <f t="shared" ref="W132:W195" si="24">IF(R132="DOWN",S132+(S132*T132/100),S132-(S132*T132/100))</f>
        <v>#REF!</v>
      </c>
      <c r="X132" t="e">
        <f t="shared" ref="X132:X195" si="25">IF(R132="DOWN",S132-(S132*U132/100),S132+(S132*U132/100))</f>
        <v>#REF!</v>
      </c>
      <c r="Z132" t="e">
        <f t="shared" ref="Z132:Z195" si="26">IF(R132="DOWN",IF(Y132 &lt; S132 * (1 - 0.01), Y132 * (1 + 0.005), ""),IF(Y132 &gt; S132 * (1 + 0.01), Y132 * (1 - 0.005), ""))</f>
        <v>#REF!</v>
      </c>
      <c r="AB132" t="e">
        <f t="shared" ref="AB132:AB195" si="27">(($B$1) *(T132))/100</f>
        <v>#REF!</v>
      </c>
      <c r="AG132" t="e">
        <f t="shared" ref="AG132:AG195" si="28">IF(R132="DOWN",(S132-AA132)/S132*1000,(AA132-S132)/S132*1000)</f>
        <v>#REF!</v>
      </c>
      <c r="AH132" s="5" t="e">
        <f t="shared" ref="AH132:AH195" si="29">AB132*(AG132)</f>
        <v>#REF!</v>
      </c>
      <c r="AI132" t="e">
        <f t="shared" ref="AI132:AI195" si="30">IF(AK132&lt;V132,"MANTENER","CERRAR")</f>
        <v>#REF!</v>
      </c>
    </row>
    <row r="133" spans="1:35" x14ac:dyDescent="0.55000000000000004">
      <c r="C133" t="s">
        <v>31</v>
      </c>
      <c r="D133" t="e">
        <f>IF(COUNTIF(#REF!,"&lt;&gt;NAN")=0, 0, IF(AND(OR(#REF!=#REF!,#REF!="NAN"), OR(#REF!=#REF!,#REF!="NAN"), OR(#REF!=#REF!,#REF!="NAN")),#REF!, 0))</f>
        <v>#REF!</v>
      </c>
      <c r="E133" t="e">
        <f>IF(#REF!="NAN","",IF(
   AND(OR(#REF!=#REF!,#REF!="NAN"),
     OR(#REF!=#REF!,#REF!="NAN"),
     OR(#REF!=#REF!,#REF!="NAN")),
   1,
   0))</f>
        <v>#REF!</v>
      </c>
      <c r="G133" t="e">
        <f>IF(OR(#REF!="UP",#REF!="DOWN"),1,0)</f>
        <v>#REF!</v>
      </c>
      <c r="H133" t="e">
        <f>IF(OR(#REF!="UP",#REF!="DOWN"),1,0)</f>
        <v>#REF!</v>
      </c>
      <c r="I133" t="e">
        <f>IF(OR(#REF!="UP",#REF!="DOWN"),1,0)</f>
        <v>#REF!</v>
      </c>
      <c r="M133" t="e">
        <f>IF(OR(#REF!="UP",#REF!="DOWN"),1,1)</f>
        <v>#REF!</v>
      </c>
      <c r="N133" t="e">
        <f>IF(OR(#REF!="UP",#REF!="DOWN"),VLOOKUP($C133,Configuración!$H$2:$K$11,3),1)</f>
        <v>#REF!</v>
      </c>
      <c r="O133" t="e">
        <f>IF(OR(#REF!="UP",#REF!="DOWN"),VLOOKUP($C133,Configuración!$H$2:$K$11,4),1)</f>
        <v>#REF!</v>
      </c>
      <c r="P133" t="e">
        <f t="shared" si="22"/>
        <v>#REF!</v>
      </c>
      <c r="Q133" t="e">
        <f t="shared" si="23"/>
        <v>#REF!</v>
      </c>
      <c r="R133" t="e">
        <f t="shared" si="21"/>
        <v>#REF!</v>
      </c>
      <c r="T133" t="e">
        <f>IF(R133&lt;&gt;0,Configuración!$E$2,0)</f>
        <v>#REF!</v>
      </c>
      <c r="U133" t="e">
        <f>IF(R133&lt;&gt;0,Configuración!$F$2,0)</f>
        <v>#REF!</v>
      </c>
      <c r="V133" t="e">
        <f>IF(R133&lt;&gt;0,Configuración!$G$2,0)</f>
        <v>#REF!</v>
      </c>
      <c r="W133" t="e">
        <f t="shared" si="24"/>
        <v>#REF!</v>
      </c>
      <c r="X133" t="e">
        <f t="shared" si="25"/>
        <v>#REF!</v>
      </c>
      <c r="Z133" t="e">
        <f t="shared" si="26"/>
        <v>#REF!</v>
      </c>
      <c r="AB133" t="e">
        <f t="shared" si="27"/>
        <v>#REF!</v>
      </c>
      <c r="AG133" t="e">
        <f t="shared" si="28"/>
        <v>#REF!</v>
      </c>
      <c r="AH133" s="5" t="e">
        <f t="shared" si="29"/>
        <v>#REF!</v>
      </c>
      <c r="AI133" t="e">
        <f t="shared" si="30"/>
        <v>#REF!</v>
      </c>
    </row>
    <row r="134" spans="1:35" x14ac:dyDescent="0.55000000000000004">
      <c r="C134" t="s">
        <v>26</v>
      </c>
      <c r="D134" t="e">
        <f>IF(COUNTIF(#REF!,"&lt;&gt;NAN")=0, 0, IF(AND(OR(#REF!=#REF!,#REF!="NAN"), OR(#REF!=#REF!,#REF!="NAN"), OR(#REF!=#REF!,#REF!="NAN")),#REF!, 0))</f>
        <v>#REF!</v>
      </c>
      <c r="E134" t="e">
        <f>IF(#REF!="NAN","",IF(
   AND(OR(#REF!=#REF!,#REF!="NAN"),
     OR(#REF!=#REF!,#REF!="NAN"),
     OR(#REF!=#REF!,#REF!="NAN")),
   1,
   0))</f>
        <v>#REF!</v>
      </c>
      <c r="G134" t="e">
        <f>IF(OR(#REF!="UP",#REF!="DOWN"),1,0)</f>
        <v>#REF!</v>
      </c>
      <c r="H134" t="e">
        <f>IF(OR(#REF!="UP",#REF!="DOWN"),1,0)</f>
        <v>#REF!</v>
      </c>
      <c r="I134" t="e">
        <f>IF(OR(#REF!="UP",#REF!="DOWN"),1,0)</f>
        <v>#REF!</v>
      </c>
      <c r="K134" s="7"/>
      <c r="M134" t="e">
        <f>IF(OR(#REF!="UP",#REF!="DOWN"),1,1)</f>
        <v>#REF!</v>
      </c>
      <c r="N134" t="e">
        <f>IF(OR(#REF!="UP",#REF!="DOWN"),VLOOKUP($C134,Configuración!$H$2:$K$11,3),1)</f>
        <v>#REF!</v>
      </c>
      <c r="O134" t="e">
        <f>IF(OR(#REF!="UP",#REF!="DOWN"),VLOOKUP($C134,Configuración!$H$2:$K$11,4),1)</f>
        <v>#REF!</v>
      </c>
      <c r="P134" t="e">
        <f t="shared" si="22"/>
        <v>#REF!</v>
      </c>
      <c r="Q134" t="e">
        <f t="shared" si="23"/>
        <v>#REF!</v>
      </c>
      <c r="R134" t="e">
        <f t="shared" si="21"/>
        <v>#REF!</v>
      </c>
      <c r="T134" t="e">
        <f>IF(R134&lt;&gt;0,Configuración!$E$2,0)</f>
        <v>#REF!</v>
      </c>
      <c r="U134" t="e">
        <f>IF(R134&lt;&gt;0,Configuración!$F$2,0)</f>
        <v>#REF!</v>
      </c>
      <c r="V134" t="e">
        <f>IF(R134&lt;&gt;0,Configuración!$G$2,0)</f>
        <v>#REF!</v>
      </c>
      <c r="W134" t="e">
        <f t="shared" si="24"/>
        <v>#REF!</v>
      </c>
      <c r="X134" t="e">
        <f t="shared" si="25"/>
        <v>#REF!</v>
      </c>
      <c r="Z134" t="e">
        <f t="shared" si="26"/>
        <v>#REF!</v>
      </c>
      <c r="AB134" t="e">
        <f t="shared" si="27"/>
        <v>#REF!</v>
      </c>
      <c r="AG134" t="e">
        <f t="shared" si="28"/>
        <v>#REF!</v>
      </c>
      <c r="AH134" s="5" t="e">
        <f t="shared" si="29"/>
        <v>#REF!</v>
      </c>
      <c r="AI134" t="e">
        <f t="shared" si="30"/>
        <v>#REF!</v>
      </c>
    </row>
    <row r="135" spans="1:35" x14ac:dyDescent="0.55000000000000004">
      <c r="C135" t="s">
        <v>27</v>
      </c>
      <c r="D135" t="e">
        <f>IF(COUNTIF(#REF!,"&lt;&gt;NAN")=0, 0, IF(AND(OR(#REF!=#REF!,#REF!="NAN"), OR(#REF!=#REF!,#REF!="NAN"), OR(#REF!=#REF!,#REF!="NAN")),#REF!, 0))</f>
        <v>#REF!</v>
      </c>
      <c r="E135" t="e">
        <f>IF(#REF!="NAN","",IF(
   AND(OR(#REF!=#REF!,#REF!="NAN"),
     OR(#REF!=#REF!,#REF!="NAN"),
     OR(#REF!=#REF!,#REF!="NAN")),
   1,
   0))</f>
        <v>#REF!</v>
      </c>
      <c r="G135" t="e">
        <f>IF(OR(#REF!="UP",#REF!="DOWN"),1,0)</f>
        <v>#REF!</v>
      </c>
      <c r="H135" t="e">
        <f>IF(OR(#REF!="UP",#REF!="DOWN"),1,0)</f>
        <v>#REF!</v>
      </c>
      <c r="I135" t="e">
        <f>IF(OR(#REF!="UP",#REF!="DOWN"),1,0)</f>
        <v>#REF!</v>
      </c>
      <c r="K135" s="7"/>
      <c r="M135" t="e">
        <f>IF(OR(#REF!="UP",#REF!="DOWN"),1,1)</f>
        <v>#REF!</v>
      </c>
      <c r="N135" t="e">
        <f>IF(OR(#REF!="UP",#REF!="DOWN"),VLOOKUP($C135,Configuración!$H$2:$K$11,3),1)</f>
        <v>#REF!</v>
      </c>
      <c r="O135" t="e">
        <f>IF(OR(#REF!="UP",#REF!="DOWN"),VLOOKUP($C135,Configuración!$H$2:$K$11,4),1)</f>
        <v>#REF!</v>
      </c>
      <c r="P135" t="e">
        <f t="shared" si="22"/>
        <v>#REF!</v>
      </c>
      <c r="Q135" t="e">
        <f t="shared" si="23"/>
        <v>#REF!</v>
      </c>
      <c r="R135" t="e">
        <f t="shared" si="21"/>
        <v>#REF!</v>
      </c>
      <c r="T135" t="e">
        <f>IF(R135&lt;&gt;0,Configuración!$E$2,0)</f>
        <v>#REF!</v>
      </c>
      <c r="U135" t="e">
        <f>IF(R135&lt;&gt;0,Configuración!$F$2,0)</f>
        <v>#REF!</v>
      </c>
      <c r="V135" t="e">
        <f>IF(R135&lt;&gt;0,Configuración!$G$2,0)</f>
        <v>#REF!</v>
      </c>
      <c r="W135" t="e">
        <f t="shared" si="24"/>
        <v>#REF!</v>
      </c>
      <c r="X135" t="e">
        <f t="shared" si="25"/>
        <v>#REF!</v>
      </c>
      <c r="Z135" t="e">
        <f t="shared" si="26"/>
        <v>#REF!</v>
      </c>
      <c r="AB135" t="e">
        <f t="shared" si="27"/>
        <v>#REF!</v>
      </c>
      <c r="AG135" t="e">
        <f t="shared" si="28"/>
        <v>#REF!</v>
      </c>
      <c r="AH135" s="5" t="e">
        <f t="shared" si="29"/>
        <v>#REF!</v>
      </c>
      <c r="AI135" t="e">
        <f t="shared" si="30"/>
        <v>#REF!</v>
      </c>
    </row>
    <row r="136" spans="1:35" x14ac:dyDescent="0.55000000000000004">
      <c r="C136" t="s">
        <v>28</v>
      </c>
      <c r="D136" t="e">
        <f>IF(COUNTIF(#REF!,"&lt;&gt;NAN")=0, 0, IF(AND(OR(#REF!=#REF!,#REF!="NAN"), OR(#REF!=#REF!,#REF!="NAN"), OR(#REF!=#REF!,#REF!="NAN")),#REF!, 0))</f>
        <v>#REF!</v>
      </c>
      <c r="E136" t="e">
        <f>IF(#REF!="NAN","",IF(
   AND(OR(#REF!=#REF!,#REF!="NAN"),
     OR(#REF!=#REF!,#REF!="NAN"),
     OR(#REF!=#REF!,#REF!="NAN")),
   1,
   0))</f>
        <v>#REF!</v>
      </c>
      <c r="G136" t="e">
        <f>IF(OR(#REF!="UP",#REF!="DOWN"),1,0)</f>
        <v>#REF!</v>
      </c>
      <c r="H136" t="e">
        <f>IF(OR(#REF!="UP",#REF!="DOWN"),1,0)</f>
        <v>#REF!</v>
      </c>
      <c r="I136" t="e">
        <f>IF(OR(#REF!="UP",#REF!="DOWN"),1,0)</f>
        <v>#REF!</v>
      </c>
      <c r="K136" s="7"/>
      <c r="M136" t="e">
        <f>IF(OR(#REF!="UP",#REF!="DOWN"),1,1)</f>
        <v>#REF!</v>
      </c>
      <c r="N136" t="e">
        <f>IF(OR(#REF!="UP",#REF!="DOWN"),VLOOKUP($C136,Configuración!$H$2:$K$11,3),1)</f>
        <v>#REF!</v>
      </c>
      <c r="O136" t="e">
        <f>IF(OR(#REF!="UP",#REF!="DOWN"),VLOOKUP($C136,Configuración!$H$2:$K$11,4),1)</f>
        <v>#REF!</v>
      </c>
      <c r="P136" t="e">
        <f t="shared" si="22"/>
        <v>#REF!</v>
      </c>
      <c r="Q136" t="e">
        <f t="shared" si="23"/>
        <v>#REF!</v>
      </c>
      <c r="R136" t="e">
        <f t="shared" si="21"/>
        <v>#REF!</v>
      </c>
      <c r="T136" t="e">
        <f>IF(R136&lt;&gt;0,Configuración!$E$2,0)</f>
        <v>#REF!</v>
      </c>
      <c r="U136" t="e">
        <f>IF(R136&lt;&gt;0,Configuración!$F$2,0)</f>
        <v>#REF!</v>
      </c>
      <c r="V136" t="e">
        <f>IF(R136&lt;&gt;0,Configuración!$G$2,0)</f>
        <v>#REF!</v>
      </c>
      <c r="W136" t="e">
        <f t="shared" si="24"/>
        <v>#REF!</v>
      </c>
      <c r="X136" t="e">
        <f t="shared" si="25"/>
        <v>#REF!</v>
      </c>
      <c r="Z136" t="e">
        <f t="shared" si="26"/>
        <v>#REF!</v>
      </c>
      <c r="AB136" t="e">
        <f t="shared" si="27"/>
        <v>#REF!</v>
      </c>
      <c r="AG136" t="e">
        <f t="shared" si="28"/>
        <v>#REF!</v>
      </c>
      <c r="AH136" s="5" t="e">
        <f t="shared" si="29"/>
        <v>#REF!</v>
      </c>
      <c r="AI136" t="e">
        <f t="shared" si="30"/>
        <v>#REF!</v>
      </c>
    </row>
    <row r="137" spans="1:35" x14ac:dyDescent="0.55000000000000004">
      <c r="C137" t="s">
        <v>30</v>
      </c>
      <c r="D137" t="e">
        <f>IF(COUNTIF(#REF!,"&lt;&gt;NAN")=0, 0, IF(AND(OR(#REF!=#REF!,#REF!="NAN"), OR(#REF!=#REF!,#REF!="NAN"), OR(#REF!=#REF!,#REF!="NAN")),#REF!, 0))</f>
        <v>#REF!</v>
      </c>
      <c r="E137" t="e">
        <f>IF(#REF!="NAN","",IF(
   AND(OR(#REF!=#REF!,#REF!="NAN"),
     OR(#REF!=#REF!,#REF!="NAN"),
     OR(#REF!=#REF!,#REF!="NAN")),
   1,
   0))</f>
        <v>#REF!</v>
      </c>
      <c r="G137" t="e">
        <f>IF(OR(#REF!="UP",#REF!="DOWN"),1,0)</f>
        <v>#REF!</v>
      </c>
      <c r="H137" t="e">
        <f>IF(OR(#REF!="UP",#REF!="DOWN"),1,0)</f>
        <v>#REF!</v>
      </c>
      <c r="I137" t="e">
        <f>IF(OR(#REF!="UP",#REF!="DOWN"),1,0)</f>
        <v>#REF!</v>
      </c>
      <c r="K137" s="7"/>
      <c r="M137" t="e">
        <f>IF(OR(#REF!="UP",#REF!="DOWN"),1,1)</f>
        <v>#REF!</v>
      </c>
      <c r="N137" t="e">
        <f>IF(OR(#REF!="UP",#REF!="DOWN"),VLOOKUP($C137,Configuración!$H$2:$K$11,3),1)</f>
        <v>#REF!</v>
      </c>
      <c r="O137" t="e">
        <f>IF(OR(#REF!="UP",#REF!="DOWN"),VLOOKUP($C137,Configuración!$H$2:$K$11,4),1)</f>
        <v>#REF!</v>
      </c>
      <c r="P137" t="e">
        <f t="shared" si="22"/>
        <v>#REF!</v>
      </c>
      <c r="Q137" t="e">
        <f t="shared" si="23"/>
        <v>#REF!</v>
      </c>
      <c r="R137" t="e">
        <f t="shared" si="21"/>
        <v>#REF!</v>
      </c>
      <c r="T137" t="e">
        <f>IF(R137&lt;&gt;0,Configuración!$E$2,0)</f>
        <v>#REF!</v>
      </c>
      <c r="U137" t="e">
        <f>IF(R137&lt;&gt;0,Configuración!$F$2,0)</f>
        <v>#REF!</v>
      </c>
      <c r="V137" t="e">
        <f>IF(R137&lt;&gt;0,Configuración!$G$2,0)</f>
        <v>#REF!</v>
      </c>
      <c r="W137" t="e">
        <f t="shared" si="24"/>
        <v>#REF!</v>
      </c>
      <c r="X137" t="e">
        <f t="shared" si="25"/>
        <v>#REF!</v>
      </c>
      <c r="Z137" t="e">
        <f t="shared" si="26"/>
        <v>#REF!</v>
      </c>
      <c r="AB137" t="e">
        <f t="shared" si="27"/>
        <v>#REF!</v>
      </c>
      <c r="AG137" t="e">
        <f t="shared" si="28"/>
        <v>#REF!</v>
      </c>
      <c r="AH137" s="5" t="e">
        <f t="shared" si="29"/>
        <v>#REF!</v>
      </c>
      <c r="AI137" t="e">
        <f t="shared" si="30"/>
        <v>#REF!</v>
      </c>
    </row>
    <row r="138" spans="1:35" x14ac:dyDescent="0.55000000000000004">
      <c r="C138" t="s">
        <v>31</v>
      </c>
      <c r="D138" t="e">
        <f>IF(COUNTIF(#REF!,"&lt;&gt;NAN")=0, 0, IF(AND(OR(#REF!=#REF!,#REF!="NAN"), OR(#REF!=#REF!,#REF!="NAN"), OR(#REF!=#REF!,#REF!="NAN")),#REF!, 0))</f>
        <v>#REF!</v>
      </c>
      <c r="E138" t="e">
        <f>IF(#REF!="NAN","",IF(
   AND(OR(#REF!=#REF!,#REF!="NAN"),
     OR(#REF!=#REF!,#REF!="NAN"),
     OR(#REF!=#REF!,#REF!="NAN")),
   1,
   0))</f>
        <v>#REF!</v>
      </c>
      <c r="G138" t="e">
        <f>IF(OR(#REF!="UP",#REF!="DOWN"),1,0)</f>
        <v>#REF!</v>
      </c>
      <c r="H138" t="e">
        <f>IF(OR(#REF!="UP",#REF!="DOWN"),1,0)</f>
        <v>#REF!</v>
      </c>
      <c r="I138" t="e">
        <f>IF(OR(#REF!="UP",#REF!="DOWN"),1,0)</f>
        <v>#REF!</v>
      </c>
      <c r="K138" s="7"/>
      <c r="M138" t="e">
        <f>IF(OR(#REF!="UP",#REF!="DOWN"),1,1)</f>
        <v>#REF!</v>
      </c>
      <c r="N138" t="e">
        <f>IF(OR(#REF!="UP",#REF!="DOWN"),VLOOKUP($C138,Configuración!$H$2:$K$11,3),1)</f>
        <v>#REF!</v>
      </c>
      <c r="O138" t="e">
        <f>IF(OR(#REF!="UP",#REF!="DOWN"),VLOOKUP($C138,Configuración!$H$2:$K$11,4),1)</f>
        <v>#REF!</v>
      </c>
      <c r="P138" t="e">
        <f t="shared" si="22"/>
        <v>#REF!</v>
      </c>
      <c r="Q138" t="e">
        <f t="shared" si="23"/>
        <v>#REF!</v>
      </c>
      <c r="R138" t="e">
        <f t="shared" si="21"/>
        <v>#REF!</v>
      </c>
      <c r="T138" t="e">
        <f>IF(R138&lt;&gt;0,Configuración!$E$2,0)</f>
        <v>#REF!</v>
      </c>
      <c r="U138" t="e">
        <f>IF(R138&lt;&gt;0,Configuración!$F$2,0)</f>
        <v>#REF!</v>
      </c>
      <c r="V138" t="e">
        <f>IF(R138&lt;&gt;0,Configuración!$G$2,0)</f>
        <v>#REF!</v>
      </c>
      <c r="W138" t="e">
        <f t="shared" si="24"/>
        <v>#REF!</v>
      </c>
      <c r="X138" t="e">
        <f t="shared" si="25"/>
        <v>#REF!</v>
      </c>
      <c r="Z138" t="e">
        <f t="shared" si="26"/>
        <v>#REF!</v>
      </c>
      <c r="AB138" t="e">
        <f t="shared" si="27"/>
        <v>#REF!</v>
      </c>
      <c r="AG138" t="e">
        <f t="shared" si="28"/>
        <v>#REF!</v>
      </c>
      <c r="AH138" s="5" t="e">
        <f t="shared" si="29"/>
        <v>#REF!</v>
      </c>
      <c r="AI138" t="e">
        <f t="shared" si="30"/>
        <v>#REF!</v>
      </c>
    </row>
    <row r="139" spans="1:35" x14ac:dyDescent="0.55000000000000004">
      <c r="C139" t="s">
        <v>29</v>
      </c>
      <c r="D139" t="e">
        <f>IF(COUNTIF(#REF!,"&lt;&gt;NAN")=0, 0, IF(AND(OR(#REF!=#REF!,#REF!="NAN"), OR(#REF!=#REF!,#REF!="NAN"), OR(#REF!=#REF!,#REF!="NAN")),#REF!, 0))</f>
        <v>#REF!</v>
      </c>
      <c r="E139" t="e">
        <f>IF(#REF!="NAN","",IF(
   AND(OR(#REF!=#REF!,#REF!="NAN"),
     OR(#REF!=#REF!,#REF!="NAN"),
     OR(#REF!=#REF!,#REF!="NAN")),
   1,
   0))</f>
        <v>#REF!</v>
      </c>
      <c r="G139" t="e">
        <f>IF(OR(#REF!="UP",#REF!="DOWN"),1,0)</f>
        <v>#REF!</v>
      </c>
      <c r="H139" t="e">
        <f>IF(OR(#REF!="UP",#REF!="DOWN"),1,0)</f>
        <v>#REF!</v>
      </c>
      <c r="I139" t="e">
        <f>IF(OR(#REF!="UP",#REF!="DOWN"),1,0)</f>
        <v>#REF!</v>
      </c>
      <c r="K139" s="7"/>
      <c r="M139" t="e">
        <f>IF(OR(#REF!="UP",#REF!="DOWN"),1,1)</f>
        <v>#REF!</v>
      </c>
      <c r="N139" t="e">
        <f>IF(OR(#REF!="UP",#REF!="DOWN"),VLOOKUP($C139,Configuración!$H$2:$K$11,3),1)</f>
        <v>#REF!</v>
      </c>
      <c r="O139" t="e">
        <f>IF(OR(#REF!="UP",#REF!="DOWN"),VLOOKUP($C139,Configuración!$H$2:$K$11,4),1)</f>
        <v>#REF!</v>
      </c>
      <c r="P139" t="e">
        <f t="shared" si="22"/>
        <v>#REF!</v>
      </c>
      <c r="Q139" t="e">
        <f t="shared" si="23"/>
        <v>#REF!</v>
      </c>
      <c r="R139" t="e">
        <f t="shared" si="21"/>
        <v>#REF!</v>
      </c>
      <c r="T139" t="e">
        <f>IF(R139&lt;&gt;0,Configuración!$E$2,0)</f>
        <v>#REF!</v>
      </c>
      <c r="U139" t="e">
        <f>IF(R139&lt;&gt;0,Configuración!$F$2,0)</f>
        <v>#REF!</v>
      </c>
      <c r="V139" t="e">
        <f>IF(R139&lt;&gt;0,Configuración!$G$2,0)</f>
        <v>#REF!</v>
      </c>
      <c r="W139" t="e">
        <f t="shared" si="24"/>
        <v>#REF!</v>
      </c>
      <c r="X139" t="e">
        <f t="shared" si="25"/>
        <v>#REF!</v>
      </c>
      <c r="Z139" t="e">
        <f t="shared" si="26"/>
        <v>#REF!</v>
      </c>
      <c r="AB139" t="e">
        <f t="shared" si="27"/>
        <v>#REF!</v>
      </c>
      <c r="AG139" t="e">
        <f t="shared" si="28"/>
        <v>#REF!</v>
      </c>
      <c r="AH139" s="5" t="e">
        <f t="shared" si="29"/>
        <v>#REF!</v>
      </c>
      <c r="AI139" t="e">
        <f t="shared" si="30"/>
        <v>#REF!</v>
      </c>
    </row>
    <row r="140" spans="1:35" x14ac:dyDescent="0.55000000000000004">
      <c r="A140" s="3">
        <v>45937</v>
      </c>
      <c r="C140" t="s">
        <v>32</v>
      </c>
      <c r="D140" t="e">
        <f>IF(COUNTIF(#REF!,"&lt;&gt;NAN")=0, 0, IF(AND(OR(#REF!=#REF!,#REF!="NAN"), OR(#REF!=#REF!,#REF!="NAN"), OR(#REF!=#REF!,#REF!="NAN")),#REF!, 0))</f>
        <v>#REF!</v>
      </c>
      <c r="E140" t="e">
        <f>IF(#REF!="NAN","",IF(
   AND(OR(#REF!=#REF!,#REF!="NAN"),
     OR(#REF!=#REF!,#REF!="NAN"),
     OR(#REF!=#REF!,#REF!="NAN")),
   1,
   0))</f>
        <v>#REF!</v>
      </c>
      <c r="G140" t="e">
        <f>IF(OR(#REF!="UP",#REF!="DOWN"),1,0)</f>
        <v>#REF!</v>
      </c>
      <c r="H140" t="e">
        <f>IF(OR(#REF!="UP",#REF!="DOWN"),1,0)</f>
        <v>#REF!</v>
      </c>
      <c r="I140" t="e">
        <f>IF(OR(#REF!="UP",#REF!="DOWN"),1,0)</f>
        <v>#REF!</v>
      </c>
      <c r="K140" s="7"/>
      <c r="M140" t="e">
        <f>IF(OR(#REF!="UP",#REF!="DOWN"),1,1)</f>
        <v>#REF!</v>
      </c>
      <c r="N140" t="e">
        <f>IF(OR(#REF!="UP",#REF!="DOWN"),VLOOKUP($C140,Configuración!$H$2:$K$11,3),1)</f>
        <v>#REF!</v>
      </c>
      <c r="O140" t="e">
        <f>IF(OR(#REF!="UP",#REF!="DOWN"),VLOOKUP($C140,Configuración!$H$2:$K$11,4),1)</f>
        <v>#REF!</v>
      </c>
      <c r="P140" t="e">
        <f t="shared" si="22"/>
        <v>#REF!</v>
      </c>
      <c r="Q140" t="e">
        <f t="shared" si="23"/>
        <v>#REF!</v>
      </c>
      <c r="R140" t="e">
        <f t="shared" si="21"/>
        <v>#REF!</v>
      </c>
      <c r="T140" t="e">
        <f>IF(R140&lt;&gt;0,Configuración!$E$2,0)</f>
        <v>#REF!</v>
      </c>
      <c r="U140" t="e">
        <f>IF(R140&lt;&gt;0,Configuración!$F$2,0)</f>
        <v>#REF!</v>
      </c>
      <c r="V140" t="e">
        <f>IF(R140&lt;&gt;0,Configuración!$G$2,0)</f>
        <v>#REF!</v>
      </c>
      <c r="W140" t="e">
        <f t="shared" si="24"/>
        <v>#REF!</v>
      </c>
      <c r="X140" t="e">
        <f t="shared" si="25"/>
        <v>#REF!</v>
      </c>
      <c r="Z140" t="e">
        <f t="shared" si="26"/>
        <v>#REF!</v>
      </c>
      <c r="AB140" t="e">
        <f t="shared" si="27"/>
        <v>#REF!</v>
      </c>
      <c r="AG140" t="e">
        <f t="shared" si="28"/>
        <v>#REF!</v>
      </c>
      <c r="AH140" s="5" t="e">
        <f t="shared" si="29"/>
        <v>#REF!</v>
      </c>
      <c r="AI140" t="e">
        <f t="shared" si="30"/>
        <v>#REF!</v>
      </c>
    </row>
    <row r="141" spans="1:35" x14ac:dyDescent="0.55000000000000004">
      <c r="C141" t="s">
        <v>26</v>
      </c>
      <c r="D141" t="e">
        <f>IF(COUNTIF(#REF!,"&lt;&gt;NAN")=0, 0, IF(AND(OR(#REF!=#REF!,#REF!="NAN"), OR(#REF!=#REF!,#REF!="NAN"), OR(#REF!=#REF!,#REF!="NAN")),#REF!, 0))</f>
        <v>#REF!</v>
      </c>
      <c r="E141" t="e">
        <f>IF(#REF!="NAN","",IF(
   AND(OR(#REF!=#REF!,#REF!="NAN"),
     OR(#REF!=#REF!,#REF!="NAN"),
     OR(#REF!=#REF!,#REF!="NAN")),
   1,
   0))</f>
        <v>#REF!</v>
      </c>
      <c r="G141" t="e">
        <f>IF(OR(#REF!="UP",#REF!="DOWN"),1,0)</f>
        <v>#REF!</v>
      </c>
      <c r="H141" t="e">
        <f>IF(OR(#REF!="UP",#REF!="DOWN"),1,0)</f>
        <v>#REF!</v>
      </c>
      <c r="I141" t="e">
        <f>IF(OR(#REF!="UP",#REF!="DOWN"),1,0)</f>
        <v>#REF!</v>
      </c>
      <c r="K141" s="7"/>
      <c r="M141" t="e">
        <f>IF(OR(#REF!="UP",#REF!="DOWN"),1,1)</f>
        <v>#REF!</v>
      </c>
      <c r="N141" t="e">
        <f>IF(OR(#REF!="UP",#REF!="DOWN"),VLOOKUP($C141,Configuración!$H$2:$K$11,3),1)</f>
        <v>#REF!</v>
      </c>
      <c r="O141" t="e">
        <f>IF(OR(#REF!="UP",#REF!="DOWN"),VLOOKUP($C141,Configuración!$H$2:$K$11,4),1)</f>
        <v>#REF!</v>
      </c>
      <c r="P141" t="e">
        <f t="shared" si="22"/>
        <v>#REF!</v>
      </c>
      <c r="Q141" t="e">
        <f t="shared" si="23"/>
        <v>#REF!</v>
      </c>
      <c r="R141" t="e">
        <f t="shared" si="21"/>
        <v>#REF!</v>
      </c>
      <c r="T141" t="e">
        <f>IF(R141&lt;&gt;0,Configuración!$E$2,0)</f>
        <v>#REF!</v>
      </c>
      <c r="U141" t="e">
        <f>IF(R141&lt;&gt;0,Configuración!$F$2,0)</f>
        <v>#REF!</v>
      </c>
      <c r="V141" t="e">
        <f>IF(R141&lt;&gt;0,Configuración!$G$2,0)</f>
        <v>#REF!</v>
      </c>
      <c r="W141" t="e">
        <f t="shared" si="24"/>
        <v>#REF!</v>
      </c>
      <c r="X141" t="e">
        <f t="shared" si="25"/>
        <v>#REF!</v>
      </c>
      <c r="Z141" t="e">
        <f t="shared" si="26"/>
        <v>#REF!</v>
      </c>
      <c r="AB141" t="e">
        <f t="shared" si="27"/>
        <v>#REF!</v>
      </c>
      <c r="AG141" t="e">
        <f t="shared" si="28"/>
        <v>#REF!</v>
      </c>
      <c r="AH141" s="5" t="e">
        <f t="shared" si="29"/>
        <v>#REF!</v>
      </c>
      <c r="AI141" t="e">
        <f t="shared" si="30"/>
        <v>#REF!</v>
      </c>
    </row>
    <row r="142" spans="1:35" x14ac:dyDescent="0.55000000000000004">
      <c r="C142" t="s">
        <v>33</v>
      </c>
      <c r="D142" t="e">
        <f>IF(COUNTIF(#REF!,"&lt;&gt;NAN")=0, 0, IF(AND(OR(#REF!=#REF!,#REF!="NAN"), OR(#REF!=#REF!,#REF!="NAN"), OR(#REF!=#REF!,#REF!="NAN")),#REF!, 0))</f>
        <v>#REF!</v>
      </c>
      <c r="E142" t="e">
        <f>IF(#REF!="NAN","",IF(
   AND(OR(#REF!=#REF!,#REF!="NAN"),
     OR(#REF!=#REF!,#REF!="NAN"),
     OR(#REF!=#REF!,#REF!="NAN")),
   1,
   0))</f>
        <v>#REF!</v>
      </c>
      <c r="G142" t="e">
        <f>IF(OR(#REF!="UP",#REF!="DOWN"),1,0)</f>
        <v>#REF!</v>
      </c>
      <c r="H142" t="e">
        <f>IF(OR(#REF!="UP",#REF!="DOWN"),1,0)</f>
        <v>#REF!</v>
      </c>
      <c r="I142" t="e">
        <f>IF(OR(#REF!="UP",#REF!="DOWN"),1,0)</f>
        <v>#REF!</v>
      </c>
      <c r="K142" s="7"/>
      <c r="M142" t="e">
        <f>IF(OR(#REF!="UP",#REF!="DOWN"),1,1)</f>
        <v>#REF!</v>
      </c>
      <c r="N142" t="e">
        <f>IF(OR(#REF!="UP",#REF!="DOWN"),VLOOKUP($C142,Configuración!$H$2:$K$11,3),1)</f>
        <v>#REF!</v>
      </c>
      <c r="O142" t="e">
        <f>IF(OR(#REF!="UP",#REF!="DOWN"),VLOOKUP($C142,Configuración!$H$2:$K$11,4),1)</f>
        <v>#REF!</v>
      </c>
      <c r="P142" t="e">
        <f t="shared" si="22"/>
        <v>#REF!</v>
      </c>
      <c r="Q142" t="e">
        <f t="shared" si="23"/>
        <v>#REF!</v>
      </c>
      <c r="R142" t="e">
        <f t="shared" si="21"/>
        <v>#REF!</v>
      </c>
      <c r="T142" t="e">
        <f>IF(R142&lt;&gt;0,Configuración!$E$2,0)</f>
        <v>#REF!</v>
      </c>
      <c r="U142" t="e">
        <f>IF(R142&lt;&gt;0,Configuración!$F$2,0)</f>
        <v>#REF!</v>
      </c>
      <c r="V142" t="e">
        <f>IF(R142&lt;&gt;0,Configuración!$G$2,0)</f>
        <v>#REF!</v>
      </c>
      <c r="W142" t="e">
        <f t="shared" si="24"/>
        <v>#REF!</v>
      </c>
      <c r="X142" t="e">
        <f t="shared" si="25"/>
        <v>#REF!</v>
      </c>
      <c r="Z142" t="e">
        <f t="shared" si="26"/>
        <v>#REF!</v>
      </c>
      <c r="AB142" t="e">
        <f t="shared" si="27"/>
        <v>#REF!</v>
      </c>
      <c r="AG142" t="e">
        <f t="shared" si="28"/>
        <v>#REF!</v>
      </c>
      <c r="AH142" s="5" t="e">
        <f t="shared" si="29"/>
        <v>#REF!</v>
      </c>
      <c r="AI142" t="e">
        <f t="shared" si="30"/>
        <v>#REF!</v>
      </c>
    </row>
    <row r="143" spans="1:35" x14ac:dyDescent="0.55000000000000004">
      <c r="C143" t="s">
        <v>35</v>
      </c>
      <c r="D143" t="e">
        <f>IF(COUNTIF(#REF!,"&lt;&gt;NAN")=0, 0, IF(AND(OR(#REF!=#REF!,#REF!="NAN"), OR(#REF!=#REF!,#REF!="NAN"), OR(#REF!=#REF!,#REF!="NAN")),#REF!, 0))</f>
        <v>#REF!</v>
      </c>
      <c r="E143" t="e">
        <f>IF(#REF!="NAN","",IF(
   AND(OR(#REF!=#REF!,#REF!="NAN"),
     OR(#REF!=#REF!,#REF!="NAN"),
     OR(#REF!=#REF!,#REF!="NAN")),
   1,
   0))</f>
        <v>#REF!</v>
      </c>
      <c r="G143" t="e">
        <f>IF(OR(#REF!="UP",#REF!="DOWN"),1,0)</f>
        <v>#REF!</v>
      </c>
      <c r="H143" t="e">
        <f>IF(OR(#REF!="UP",#REF!="DOWN"),1,0)</f>
        <v>#REF!</v>
      </c>
      <c r="I143" t="e">
        <f>IF(OR(#REF!="UP",#REF!="DOWN"),1,0)</f>
        <v>#REF!</v>
      </c>
      <c r="K143" s="7"/>
      <c r="M143" t="e">
        <f>IF(OR(#REF!="UP",#REF!="DOWN"),1,1)</f>
        <v>#REF!</v>
      </c>
      <c r="N143" t="e">
        <f>IF(OR(#REF!="UP",#REF!="DOWN"),VLOOKUP($C143,Configuración!$H$2:$K$11,3),1)</f>
        <v>#REF!</v>
      </c>
      <c r="O143" t="e">
        <f>IF(OR(#REF!="UP",#REF!="DOWN"),VLOOKUP($C143,Configuración!$H$2:$K$11,4),1)</f>
        <v>#REF!</v>
      </c>
      <c r="P143" t="e">
        <f t="shared" si="22"/>
        <v>#REF!</v>
      </c>
      <c r="Q143" t="e">
        <f t="shared" si="23"/>
        <v>#REF!</v>
      </c>
      <c r="R143" t="e">
        <f t="shared" si="21"/>
        <v>#REF!</v>
      </c>
      <c r="T143" t="e">
        <f>IF(R143&lt;&gt;0,Configuración!$E$2,0)</f>
        <v>#REF!</v>
      </c>
      <c r="U143" t="e">
        <f>IF(R143&lt;&gt;0,Configuración!$F$2,0)</f>
        <v>#REF!</v>
      </c>
      <c r="V143" t="e">
        <f>IF(R143&lt;&gt;0,Configuración!$G$2,0)</f>
        <v>#REF!</v>
      </c>
      <c r="W143" t="e">
        <f t="shared" si="24"/>
        <v>#REF!</v>
      </c>
      <c r="X143" t="e">
        <f t="shared" si="25"/>
        <v>#REF!</v>
      </c>
      <c r="Z143" t="e">
        <f t="shared" si="26"/>
        <v>#REF!</v>
      </c>
      <c r="AB143" t="e">
        <f t="shared" si="27"/>
        <v>#REF!</v>
      </c>
      <c r="AG143" t="e">
        <f t="shared" si="28"/>
        <v>#REF!</v>
      </c>
      <c r="AH143" s="5" t="e">
        <f t="shared" si="29"/>
        <v>#REF!</v>
      </c>
      <c r="AI143" t="e">
        <f t="shared" si="30"/>
        <v>#REF!</v>
      </c>
    </row>
    <row r="144" spans="1:35" x14ac:dyDescent="0.55000000000000004">
      <c r="C144" t="s">
        <v>34</v>
      </c>
      <c r="D144" t="e">
        <f>IF(COUNTIF(#REF!,"&lt;&gt;NAN")=0, 0, IF(AND(OR(#REF!=#REF!,#REF!="NAN"), OR(#REF!=#REF!,#REF!="NAN"), OR(#REF!=#REF!,#REF!="NAN")),#REF!, 0))</f>
        <v>#REF!</v>
      </c>
      <c r="E144" t="e">
        <f>IF(#REF!="NAN","",IF(
   AND(OR(#REF!=#REF!,#REF!="NAN"),
     OR(#REF!=#REF!,#REF!="NAN"),
     OR(#REF!=#REF!,#REF!="NAN")),
   1,
   0))</f>
        <v>#REF!</v>
      </c>
      <c r="G144" t="e">
        <f>IF(OR(#REF!="UP",#REF!="DOWN"),1,0)</f>
        <v>#REF!</v>
      </c>
      <c r="H144" t="e">
        <f>IF(OR(#REF!="UP",#REF!="DOWN"),1,0)</f>
        <v>#REF!</v>
      </c>
      <c r="I144" t="e">
        <f>IF(OR(#REF!="UP",#REF!="DOWN"),1,0)</f>
        <v>#REF!</v>
      </c>
      <c r="K144" s="7"/>
      <c r="M144" t="e">
        <f>IF(OR(#REF!="UP",#REF!="DOWN"),1,1)</f>
        <v>#REF!</v>
      </c>
      <c r="N144" t="e">
        <f>IF(OR(#REF!="UP",#REF!="DOWN"),VLOOKUP($C144,Configuración!$H$2:$K$11,3),1)</f>
        <v>#REF!</v>
      </c>
      <c r="O144" t="e">
        <f>IF(OR(#REF!="UP",#REF!="DOWN"),VLOOKUP($C144,Configuración!$H$2:$K$11,4),1)</f>
        <v>#REF!</v>
      </c>
      <c r="P144" t="e">
        <f t="shared" si="22"/>
        <v>#REF!</v>
      </c>
      <c r="Q144" t="e">
        <f t="shared" si="23"/>
        <v>#REF!</v>
      </c>
      <c r="R144" t="e">
        <f t="shared" si="21"/>
        <v>#REF!</v>
      </c>
      <c r="T144" t="e">
        <f>IF(R144&lt;&gt;0,Configuración!$E$2,0)</f>
        <v>#REF!</v>
      </c>
      <c r="U144" t="e">
        <f>IF(R144&lt;&gt;0,Configuración!$F$2,0)</f>
        <v>#REF!</v>
      </c>
      <c r="V144" t="e">
        <f>IF(R144&lt;&gt;0,Configuración!$G$2,0)</f>
        <v>#REF!</v>
      </c>
      <c r="W144" t="e">
        <f t="shared" si="24"/>
        <v>#REF!</v>
      </c>
      <c r="X144" t="e">
        <f t="shared" si="25"/>
        <v>#REF!</v>
      </c>
      <c r="Z144" t="e">
        <f t="shared" si="26"/>
        <v>#REF!</v>
      </c>
      <c r="AB144" t="e">
        <f t="shared" si="27"/>
        <v>#REF!</v>
      </c>
      <c r="AG144" t="e">
        <f t="shared" si="28"/>
        <v>#REF!</v>
      </c>
      <c r="AH144" s="5" t="e">
        <f t="shared" si="29"/>
        <v>#REF!</v>
      </c>
      <c r="AI144" t="e">
        <f t="shared" si="30"/>
        <v>#REF!</v>
      </c>
    </row>
    <row r="145" spans="1:37" x14ac:dyDescent="0.55000000000000004">
      <c r="C145" t="s">
        <v>27</v>
      </c>
      <c r="D145" t="e">
        <f>IF(COUNTIF(#REF!,"&lt;&gt;NAN")=0, 0, IF(AND(OR(#REF!=#REF!,#REF!="NAN"), OR(#REF!=#REF!,#REF!="NAN"), OR(#REF!=#REF!,#REF!="NAN")),#REF!, 0))</f>
        <v>#REF!</v>
      </c>
      <c r="E145" t="e">
        <f>IF(#REF!="NAN","",IF(
   AND(OR(#REF!=#REF!,#REF!="NAN"),
     OR(#REF!=#REF!,#REF!="NAN"),
     OR(#REF!=#REF!,#REF!="NAN")),
   1,
   0))</f>
        <v>#REF!</v>
      </c>
      <c r="G145" t="e">
        <f>IF(OR(#REF!="UP",#REF!="DOWN"),1,0)</f>
        <v>#REF!</v>
      </c>
      <c r="H145" t="e">
        <f>IF(OR(#REF!="UP",#REF!="DOWN"),1,0)</f>
        <v>#REF!</v>
      </c>
      <c r="I145" t="e">
        <f>IF(OR(#REF!="UP",#REF!="DOWN"),1,0)</f>
        <v>#REF!</v>
      </c>
      <c r="K145" s="7"/>
      <c r="M145" t="e">
        <f>IF(OR(#REF!="UP",#REF!="DOWN"),1,1)</f>
        <v>#REF!</v>
      </c>
      <c r="N145" t="e">
        <f>IF(OR(#REF!="UP",#REF!="DOWN"),VLOOKUP($C145,Configuración!$H$2:$K$11,3),1)</f>
        <v>#REF!</v>
      </c>
      <c r="O145" t="e">
        <f>IF(OR(#REF!="UP",#REF!="DOWN"),VLOOKUP($C145,Configuración!$H$2:$K$11,4),1)</f>
        <v>#REF!</v>
      </c>
      <c r="P145" t="e">
        <f t="shared" si="22"/>
        <v>#REF!</v>
      </c>
      <c r="Q145" t="e">
        <f t="shared" si="23"/>
        <v>#REF!</v>
      </c>
      <c r="R145" t="e">
        <f t="shared" si="21"/>
        <v>#REF!</v>
      </c>
      <c r="T145" t="e">
        <f>IF(R145&lt;&gt;0,Configuración!$E$2,0)</f>
        <v>#REF!</v>
      </c>
      <c r="U145" t="e">
        <f>IF(R145&lt;&gt;0,Configuración!$F$2,0)</f>
        <v>#REF!</v>
      </c>
      <c r="V145" t="e">
        <f>IF(R145&lt;&gt;0,Configuración!$G$2,0)</f>
        <v>#REF!</v>
      </c>
      <c r="W145" t="e">
        <f t="shared" si="24"/>
        <v>#REF!</v>
      </c>
      <c r="X145" t="e">
        <f t="shared" si="25"/>
        <v>#REF!</v>
      </c>
      <c r="Z145" t="e">
        <f t="shared" si="26"/>
        <v>#REF!</v>
      </c>
      <c r="AB145" t="e">
        <f t="shared" si="27"/>
        <v>#REF!</v>
      </c>
      <c r="AG145" t="e">
        <f t="shared" si="28"/>
        <v>#REF!</v>
      </c>
      <c r="AH145" s="5" t="e">
        <f t="shared" si="29"/>
        <v>#REF!</v>
      </c>
      <c r="AI145" t="e">
        <f t="shared" si="30"/>
        <v>#REF!</v>
      </c>
    </row>
    <row r="146" spans="1:37" x14ac:dyDescent="0.55000000000000004">
      <c r="C146" t="s">
        <v>28</v>
      </c>
      <c r="D146" t="e">
        <f>IF(COUNTIF(#REF!,"&lt;&gt;NAN")=0, 0, IF(AND(OR(#REF!=#REF!,#REF!="NAN"), OR(#REF!=#REF!,#REF!="NAN"), OR(#REF!=#REF!,#REF!="NAN")),#REF!, 0))</f>
        <v>#REF!</v>
      </c>
      <c r="E146" t="e">
        <f>IF(#REF!="NAN","",IF(
   AND(OR(#REF!=#REF!,#REF!="NAN"),
     OR(#REF!=#REF!,#REF!="NAN"),
     OR(#REF!=#REF!,#REF!="NAN")),
   1,
   0))</f>
        <v>#REF!</v>
      </c>
      <c r="G146" t="e">
        <f>IF(OR(#REF!="UP",#REF!="DOWN"),1,0)</f>
        <v>#REF!</v>
      </c>
      <c r="H146" t="e">
        <f>IF(OR(#REF!="UP",#REF!="DOWN"),1,0)</f>
        <v>#REF!</v>
      </c>
      <c r="I146" t="e">
        <f>IF(OR(#REF!="UP",#REF!="DOWN"),1,0)</f>
        <v>#REF!</v>
      </c>
      <c r="K146" s="7"/>
      <c r="M146" t="e">
        <f>IF(OR(#REF!="UP",#REF!="DOWN"),1,1)</f>
        <v>#REF!</v>
      </c>
      <c r="N146" t="e">
        <f>IF(OR(#REF!="UP",#REF!="DOWN"),VLOOKUP($C146,Configuración!$H$2:$K$11,3),1)</f>
        <v>#REF!</v>
      </c>
      <c r="O146" t="e">
        <f>IF(OR(#REF!="UP",#REF!="DOWN"),VLOOKUP($C146,Configuración!$H$2:$K$11,4),1)</f>
        <v>#REF!</v>
      </c>
      <c r="P146" t="e">
        <f t="shared" si="22"/>
        <v>#REF!</v>
      </c>
      <c r="Q146" t="e">
        <f t="shared" si="23"/>
        <v>#REF!</v>
      </c>
      <c r="R146" t="e">
        <f t="shared" si="21"/>
        <v>#REF!</v>
      </c>
      <c r="T146" t="e">
        <f>IF(R146&lt;&gt;0,Configuración!$E$2,0)</f>
        <v>#REF!</v>
      </c>
      <c r="U146" t="e">
        <f>IF(R146&lt;&gt;0,Configuración!$F$2,0)</f>
        <v>#REF!</v>
      </c>
      <c r="V146" t="e">
        <f>IF(R146&lt;&gt;0,Configuración!$G$2,0)</f>
        <v>#REF!</v>
      </c>
      <c r="W146" t="e">
        <f t="shared" si="24"/>
        <v>#REF!</v>
      </c>
      <c r="X146" t="e">
        <f t="shared" si="25"/>
        <v>#REF!</v>
      </c>
      <c r="Z146" t="e">
        <f t="shared" si="26"/>
        <v>#REF!</v>
      </c>
      <c r="AB146" t="e">
        <f t="shared" si="27"/>
        <v>#REF!</v>
      </c>
      <c r="AG146" t="e">
        <f t="shared" si="28"/>
        <v>#REF!</v>
      </c>
      <c r="AH146" s="5" t="e">
        <f t="shared" si="29"/>
        <v>#REF!</v>
      </c>
      <c r="AI146" t="e">
        <f t="shared" si="30"/>
        <v>#REF!</v>
      </c>
    </row>
    <row r="147" spans="1:37" x14ac:dyDescent="0.55000000000000004">
      <c r="C147" t="s">
        <v>30</v>
      </c>
      <c r="D147" t="e">
        <f>IF(COUNTIF(#REF!,"&lt;&gt;NAN")=0, 0, IF(AND(OR(#REF!=#REF!,#REF!="NAN"), OR(#REF!=#REF!,#REF!="NAN"), OR(#REF!=#REF!,#REF!="NAN")),#REF!, 0))</f>
        <v>#REF!</v>
      </c>
      <c r="E147" t="e">
        <f>IF(#REF!="NAN","",IF(
   AND(OR(#REF!=#REF!,#REF!="NAN"),
     OR(#REF!=#REF!,#REF!="NAN"),
     OR(#REF!=#REF!,#REF!="NAN")),
   1,
   0))</f>
        <v>#REF!</v>
      </c>
      <c r="G147" t="e">
        <f>IF(OR(#REF!="UP",#REF!="DOWN"),1,0)</f>
        <v>#REF!</v>
      </c>
      <c r="H147" t="e">
        <f>IF(OR(#REF!="UP",#REF!="DOWN"),1,0)</f>
        <v>#REF!</v>
      </c>
      <c r="I147" t="e">
        <f>IF(OR(#REF!="UP",#REF!="DOWN"),1,0)</f>
        <v>#REF!</v>
      </c>
      <c r="K147" s="7"/>
      <c r="M147" t="e">
        <f>IF(OR(#REF!="UP",#REF!="DOWN"),1,1)</f>
        <v>#REF!</v>
      </c>
      <c r="N147" t="e">
        <f>IF(OR(#REF!="UP",#REF!="DOWN"),VLOOKUP($C147,Configuración!$H$2:$K$11,3),1)</f>
        <v>#REF!</v>
      </c>
      <c r="O147" t="e">
        <f>IF(OR(#REF!="UP",#REF!="DOWN"),VLOOKUP($C147,Configuración!$H$2:$K$11,4),1)</f>
        <v>#REF!</v>
      </c>
      <c r="P147" t="e">
        <f t="shared" si="22"/>
        <v>#REF!</v>
      </c>
      <c r="Q147" t="e">
        <f t="shared" si="23"/>
        <v>#REF!</v>
      </c>
      <c r="R147" t="e">
        <f t="shared" si="21"/>
        <v>#REF!</v>
      </c>
      <c r="T147" t="e">
        <f>IF(R147&lt;&gt;0,Configuración!$E$2,0)</f>
        <v>#REF!</v>
      </c>
      <c r="U147" t="e">
        <f>IF(R147&lt;&gt;0,Configuración!$F$2,0)</f>
        <v>#REF!</v>
      </c>
      <c r="V147" t="e">
        <f>IF(R147&lt;&gt;0,Configuración!$G$2,0)</f>
        <v>#REF!</v>
      </c>
      <c r="W147" t="e">
        <f t="shared" si="24"/>
        <v>#REF!</v>
      </c>
      <c r="X147" t="e">
        <f t="shared" si="25"/>
        <v>#REF!</v>
      </c>
      <c r="Z147" t="e">
        <f t="shared" si="26"/>
        <v>#REF!</v>
      </c>
      <c r="AB147" t="e">
        <f t="shared" si="27"/>
        <v>#REF!</v>
      </c>
      <c r="AG147" t="e">
        <f t="shared" si="28"/>
        <v>#REF!</v>
      </c>
      <c r="AH147" s="5" t="e">
        <f t="shared" si="29"/>
        <v>#REF!</v>
      </c>
      <c r="AI147" t="e">
        <f t="shared" si="30"/>
        <v>#REF!</v>
      </c>
    </row>
    <row r="148" spans="1:37" x14ac:dyDescent="0.55000000000000004">
      <c r="C148" t="s">
        <v>29</v>
      </c>
      <c r="D148" t="e">
        <f>IF(COUNTIF(#REF!,"&lt;&gt;NAN")=0, 0, IF(AND(OR(#REF!=#REF!,#REF!="NAN"), OR(#REF!=#REF!,#REF!="NAN"), OR(#REF!=#REF!,#REF!="NAN")),#REF!, 0))</f>
        <v>#REF!</v>
      </c>
      <c r="E148" t="e">
        <f>IF(#REF!="NAN","",IF(
   AND(OR(#REF!=#REF!,#REF!="NAN"),
     OR(#REF!=#REF!,#REF!="NAN"),
     OR(#REF!=#REF!,#REF!="NAN")),
   1,
   0))</f>
        <v>#REF!</v>
      </c>
      <c r="G148" t="e">
        <f>IF(OR(#REF!="UP",#REF!="DOWN"),1,0)</f>
        <v>#REF!</v>
      </c>
      <c r="H148" t="e">
        <f>IF(OR(#REF!="UP",#REF!="DOWN"),1,0)</f>
        <v>#REF!</v>
      </c>
      <c r="I148" t="e">
        <f>IF(OR(#REF!="UP",#REF!="DOWN"),1,0)</f>
        <v>#REF!</v>
      </c>
      <c r="K148" s="7"/>
      <c r="M148" t="e">
        <f>IF(OR(#REF!="UP",#REF!="DOWN"),1,1)</f>
        <v>#REF!</v>
      </c>
      <c r="N148" t="e">
        <f>IF(OR(#REF!="UP",#REF!="DOWN"),VLOOKUP($C148,Configuración!$H$2:$K$11,3),1)</f>
        <v>#REF!</v>
      </c>
      <c r="O148" t="e">
        <f>IF(OR(#REF!="UP",#REF!="DOWN"),VLOOKUP($C148,Configuración!$H$2:$K$11,4),1)</f>
        <v>#REF!</v>
      </c>
      <c r="P148" t="e">
        <f t="shared" si="22"/>
        <v>#REF!</v>
      </c>
      <c r="Q148" t="e">
        <f t="shared" si="23"/>
        <v>#REF!</v>
      </c>
      <c r="R148" t="e">
        <f t="shared" si="21"/>
        <v>#REF!</v>
      </c>
      <c r="T148" t="e">
        <f>IF(R148&lt;&gt;0,Configuración!$E$2,0)</f>
        <v>#REF!</v>
      </c>
      <c r="U148" t="e">
        <f>IF(R148&lt;&gt;0,Configuración!$F$2,0)</f>
        <v>#REF!</v>
      </c>
      <c r="V148" t="e">
        <f>IF(R148&lt;&gt;0,Configuración!$G$2,0)</f>
        <v>#REF!</v>
      </c>
      <c r="W148" t="e">
        <f t="shared" si="24"/>
        <v>#REF!</v>
      </c>
      <c r="X148" t="e">
        <f t="shared" si="25"/>
        <v>#REF!</v>
      </c>
      <c r="Z148" t="e">
        <f t="shared" si="26"/>
        <v>#REF!</v>
      </c>
      <c r="AB148" t="e">
        <f t="shared" si="27"/>
        <v>#REF!</v>
      </c>
      <c r="AG148" t="e">
        <f t="shared" si="28"/>
        <v>#REF!</v>
      </c>
      <c r="AH148" s="5" t="e">
        <f t="shared" si="29"/>
        <v>#REF!</v>
      </c>
      <c r="AI148" t="e">
        <f t="shared" si="30"/>
        <v>#REF!</v>
      </c>
    </row>
    <row r="149" spans="1:37" x14ac:dyDescent="0.55000000000000004">
      <c r="C149" t="s">
        <v>31</v>
      </c>
      <c r="D149" t="e">
        <f>IF(COUNTIF(#REF!,"&lt;&gt;NAN")=0, 0, IF(AND(OR(#REF!=#REF!,#REF!="NAN"), OR(#REF!=#REF!,#REF!="NAN"), OR(#REF!=#REF!,#REF!="NAN")),#REF!, 0))</f>
        <v>#REF!</v>
      </c>
      <c r="E149" t="e">
        <f>IF(#REF!="NAN","",IF(
   AND(OR(#REF!=#REF!,#REF!="NAN"),
     OR(#REF!=#REF!,#REF!="NAN"),
     OR(#REF!=#REF!,#REF!="NAN")),
   1,
   0))</f>
        <v>#REF!</v>
      </c>
      <c r="G149" t="e">
        <f>IF(OR(#REF!="UP",#REF!="DOWN"),1,0)</f>
        <v>#REF!</v>
      </c>
      <c r="H149" t="e">
        <f>IF(OR(#REF!="UP",#REF!="DOWN"),1,0)</f>
        <v>#REF!</v>
      </c>
      <c r="I149" t="e">
        <f>IF(OR(#REF!="UP",#REF!="DOWN"),1,0)</f>
        <v>#REF!</v>
      </c>
      <c r="K149" s="7"/>
      <c r="M149" t="e">
        <f>IF(OR(#REF!="UP",#REF!="DOWN"),1,1)</f>
        <v>#REF!</v>
      </c>
      <c r="N149" t="e">
        <f>IF(OR(#REF!="UP",#REF!="DOWN"),VLOOKUP($C149,Configuración!$H$2:$K$11,3),1)</f>
        <v>#REF!</v>
      </c>
      <c r="O149" t="e">
        <f>IF(OR(#REF!="UP",#REF!="DOWN"),VLOOKUP($C149,Configuración!$H$2:$K$11,4),1)</f>
        <v>#REF!</v>
      </c>
      <c r="P149" t="e">
        <f t="shared" si="22"/>
        <v>#REF!</v>
      </c>
      <c r="Q149" t="e">
        <f t="shared" si="23"/>
        <v>#REF!</v>
      </c>
      <c r="R149" t="e">
        <f t="shared" si="21"/>
        <v>#REF!</v>
      </c>
      <c r="T149" t="e">
        <f>IF(R149&lt;&gt;0,Configuración!$E$2,0)</f>
        <v>#REF!</v>
      </c>
      <c r="U149" t="e">
        <f>IF(R149&lt;&gt;0,Configuración!$F$2,0)</f>
        <v>#REF!</v>
      </c>
      <c r="V149" t="e">
        <f>IF(R149&lt;&gt;0,Configuración!$G$2,0)</f>
        <v>#REF!</v>
      </c>
      <c r="W149" t="e">
        <f t="shared" si="24"/>
        <v>#REF!</v>
      </c>
      <c r="X149" t="e">
        <f t="shared" si="25"/>
        <v>#REF!</v>
      </c>
      <c r="Z149" t="e">
        <f t="shared" si="26"/>
        <v>#REF!</v>
      </c>
      <c r="AB149" t="e">
        <f t="shared" si="27"/>
        <v>#REF!</v>
      </c>
      <c r="AG149" t="e">
        <f t="shared" si="28"/>
        <v>#REF!</v>
      </c>
      <c r="AH149" s="5" t="e">
        <f t="shared" si="29"/>
        <v>#REF!</v>
      </c>
      <c r="AI149" t="e">
        <f t="shared" si="30"/>
        <v>#REF!</v>
      </c>
    </row>
    <row r="150" spans="1:37" ht="57.6" x14ac:dyDescent="0.55000000000000004">
      <c r="A150" s="3">
        <v>45938</v>
      </c>
      <c r="C150" t="s">
        <v>32</v>
      </c>
      <c r="D150" t="e">
        <f>IF(COUNTIF(#REF!,"&lt;&gt;NAN")=0, 0, IF(AND(OR(#REF!=#REF!,#REF!="NAN"), OR(#REF!=#REF!,#REF!="NAN"), OR(#REF!=#REF!,#REF!="NAN")),#REF!, 0))</f>
        <v>#REF!</v>
      </c>
      <c r="E150" t="e">
        <f>IF(#REF!="NAN","",IF(
   AND(OR(#REF!=#REF!,#REF!="NAN"),
     OR(#REF!=#REF!,#REF!="NAN"),
     OR(#REF!=#REF!,#REF!="NAN")),
   1,
   0))</f>
        <v>#REF!</v>
      </c>
      <c r="F150" t="s">
        <v>38</v>
      </c>
      <c r="G150" t="e">
        <f>IF(OR(#REF!="UP",#REF!="DOWN"),1,0)</f>
        <v>#REF!</v>
      </c>
      <c r="H150" t="e">
        <f>IF(OR(#REF!="UP",#REF!="DOWN"),1,0)</f>
        <v>#REF!</v>
      </c>
      <c r="I150" t="e">
        <f>IF(OR(#REF!="UP",#REF!="DOWN"),1,0)</f>
        <v>#REF!</v>
      </c>
      <c r="K150" s="7" t="s">
        <v>63</v>
      </c>
      <c r="L150" s="8" t="s">
        <v>67</v>
      </c>
      <c r="M150" t="e">
        <f>IF(OR(#REF!="UP",#REF!="DOWN"),1,1)</f>
        <v>#REF!</v>
      </c>
      <c r="N150" t="e">
        <f>IF(OR(#REF!="UP",#REF!="DOWN"),VLOOKUP($C150,Configuración!$H$2:$K$11,3),1)</f>
        <v>#REF!</v>
      </c>
      <c r="O150" t="e">
        <f>IF(OR(#REF!="UP",#REF!="DOWN"),VLOOKUP($C150,Configuración!$H$2:$K$11,4),1)</f>
        <v>#REF!</v>
      </c>
      <c r="P150" t="e">
        <f t="shared" si="22"/>
        <v>#REF!</v>
      </c>
      <c r="Q150" t="e">
        <f t="shared" si="23"/>
        <v>#REF!</v>
      </c>
      <c r="R150" t="s">
        <v>38</v>
      </c>
      <c r="S150">
        <v>0.91685000000000005</v>
      </c>
      <c r="T150">
        <v>0.92212000000000005</v>
      </c>
      <c r="U150">
        <v>0.90500999999999998</v>
      </c>
      <c r="V150">
        <f>IF(R150&lt;&gt;0,Configuración!$G$2,0)</f>
        <v>5</v>
      </c>
      <c r="W150">
        <f t="shared" si="24"/>
        <v>0.9253044572200001</v>
      </c>
      <c r="X150">
        <f t="shared" si="25"/>
        <v>0.90855241581500001</v>
      </c>
      <c r="Z150">
        <f>IF(R150="DOWN",IF(Y150 &lt; S150 * (1 - 0.01), Y150 * (1 + 0.005), ""),IF(Y150 &gt; S150 * (1 + 0.01), Y150 * (1 - 0.005), ""))</f>
        <v>0</v>
      </c>
      <c r="AB150">
        <f t="shared" si="27"/>
        <v>0.66429524800000006</v>
      </c>
      <c r="AG150">
        <f t="shared" si="28"/>
        <v>1000</v>
      </c>
      <c r="AH150" s="5">
        <f t="shared" si="29"/>
        <v>664.29524800000002</v>
      </c>
      <c r="AI150" t="str">
        <f t="shared" si="30"/>
        <v>MANTENER</v>
      </c>
      <c r="AK150">
        <v>0</v>
      </c>
    </row>
    <row r="151" spans="1:37" x14ac:dyDescent="0.55000000000000004">
      <c r="C151" t="s">
        <v>26</v>
      </c>
      <c r="D151" t="e">
        <f>IF(COUNTIF(#REF!,"&lt;&gt;NAN")=0, 0, IF(AND(OR(#REF!=#REF!,#REF!="NAN"), OR(#REF!=#REF!,#REF!="NAN"), OR(#REF!=#REF!,#REF!="NAN")),#REF!, 0))</f>
        <v>#REF!</v>
      </c>
      <c r="E151" t="e">
        <f>IF(#REF!="NAN","",IF(
   AND(OR(#REF!=#REF!,#REF!="NAN"),
     OR(#REF!=#REF!,#REF!="NAN"),
     OR(#REF!=#REF!,#REF!="NAN")),
   1,
   0))</f>
        <v>#REF!</v>
      </c>
      <c r="F151" t="s">
        <v>38</v>
      </c>
      <c r="G151" t="e">
        <f>IF(OR(#REF!="UP",#REF!="DOWN"),1,0)</f>
        <v>#REF!</v>
      </c>
      <c r="H151" t="e">
        <f>IF(OR(#REF!="UP",#REF!="DOWN"),1,0)</f>
        <v>#REF!</v>
      </c>
      <c r="I151" t="e">
        <f>IF(OR(#REF!="UP",#REF!="DOWN"),1,0)</f>
        <v>#REF!</v>
      </c>
      <c r="K151" s="7"/>
      <c r="L151" t="s">
        <v>68</v>
      </c>
      <c r="M151" t="e">
        <f>IF(OR(#REF!="UP",#REF!="DOWN"),0,1)</f>
        <v>#REF!</v>
      </c>
      <c r="N151" t="e">
        <f>IF(OR(#REF!="UP",#REF!="DOWN"),VLOOKUP($C151,Configuración!$H$2:$K$11,3),1)</f>
        <v>#REF!</v>
      </c>
      <c r="O151" t="e">
        <f>IF(OR(#REF!="UP",#REF!="DOWN"),VLOOKUP($C151,Configuración!$H$2:$K$11,4),1)</f>
        <v>#REF!</v>
      </c>
      <c r="P151" t="e">
        <f t="shared" si="22"/>
        <v>#REF!</v>
      </c>
      <c r="Q151" t="e">
        <f t="shared" si="23"/>
        <v>#REF!</v>
      </c>
      <c r="R151" t="e">
        <f t="shared" ref="R151:R175" si="31">IF(AND(OR(D151="UP",D151="DOWN"), Q151&gt;0.9), D151, 0)</f>
        <v>#REF!</v>
      </c>
      <c r="T151" t="e">
        <f>IF(R151&lt;&gt;0,Configuración!$E$2,0)</f>
        <v>#REF!</v>
      </c>
      <c r="U151" t="e">
        <f>IF(R151&lt;&gt;0,Configuración!$F$2,0)</f>
        <v>#REF!</v>
      </c>
      <c r="V151" t="e">
        <f>IF(R151&lt;&gt;0,Configuración!$G$2,0)</f>
        <v>#REF!</v>
      </c>
      <c r="W151" t="e">
        <f t="shared" si="24"/>
        <v>#REF!</v>
      </c>
      <c r="X151" t="e">
        <f t="shared" si="25"/>
        <v>#REF!</v>
      </c>
      <c r="Z151" t="e">
        <f t="shared" si="26"/>
        <v>#REF!</v>
      </c>
      <c r="AB151" t="e">
        <f t="shared" si="27"/>
        <v>#REF!</v>
      </c>
      <c r="AG151" t="e">
        <f t="shared" si="28"/>
        <v>#REF!</v>
      </c>
      <c r="AH151" s="5" t="e">
        <f t="shared" si="29"/>
        <v>#REF!</v>
      </c>
      <c r="AI151" t="e">
        <f t="shared" si="30"/>
        <v>#REF!</v>
      </c>
    </row>
    <row r="152" spans="1:37" x14ac:dyDescent="0.55000000000000004">
      <c r="C152" t="s">
        <v>33</v>
      </c>
      <c r="D152" t="e">
        <f>IF(COUNTIF(#REF!,"&lt;&gt;NAN")=0, 0, IF(AND(OR(#REF!=#REF!,#REF!="NAN"), OR(#REF!=#REF!,#REF!="NAN"), OR(#REF!=#REF!,#REF!="NAN")),#REF!, 0))</f>
        <v>#REF!</v>
      </c>
      <c r="E152" t="e">
        <f>IF(#REF!="NAN","",IF(
   AND(OR(#REF!=#REF!,#REF!="NAN"),
     OR(#REF!=#REF!,#REF!="NAN"),
     OR(#REF!=#REF!,#REF!="NAN")),
   1,
   0))</f>
        <v>#REF!</v>
      </c>
      <c r="F152" t="s">
        <v>51</v>
      </c>
      <c r="G152" t="e">
        <f>IF(OR(#REF!="UP",#REF!="DOWN"),1,0)</f>
        <v>#REF!</v>
      </c>
      <c r="H152" t="e">
        <f>IF(OR(#REF!="UP",#REF!="DOWN"),1,0)</f>
        <v>#REF!</v>
      </c>
      <c r="I152" t="e">
        <f>IF(OR(#REF!="UP",#REF!="DOWN"),1,0)</f>
        <v>#REF!</v>
      </c>
      <c r="K152" s="7"/>
      <c r="L152" t="s">
        <v>69</v>
      </c>
      <c r="M152" t="e">
        <f>IF(OR(#REF!="UP",#REF!="DOWN"),0,1)</f>
        <v>#REF!</v>
      </c>
      <c r="N152" t="e">
        <f>IF(OR(#REF!="UP",#REF!="DOWN"),VLOOKUP($C152,Configuración!$H$2:$K$11,3),1)</f>
        <v>#REF!</v>
      </c>
      <c r="O152" t="e">
        <f>IF(OR(#REF!="UP",#REF!="DOWN"),VLOOKUP($C152,Configuración!$H$2:$K$11,4),1)</f>
        <v>#REF!</v>
      </c>
      <c r="P152" t="e">
        <f t="shared" si="22"/>
        <v>#REF!</v>
      </c>
      <c r="Q152" t="e">
        <f t="shared" si="23"/>
        <v>#REF!</v>
      </c>
      <c r="R152" t="e">
        <f t="shared" si="31"/>
        <v>#REF!</v>
      </c>
      <c r="T152" t="e">
        <f>IF(R152&lt;&gt;0,Configuración!$E$2,0)</f>
        <v>#REF!</v>
      </c>
      <c r="U152" t="e">
        <f>IF(R152&lt;&gt;0,Configuración!$F$2,0)</f>
        <v>#REF!</v>
      </c>
      <c r="V152" t="e">
        <f>IF(R152&lt;&gt;0,Configuración!$G$2,0)</f>
        <v>#REF!</v>
      </c>
      <c r="W152" t="e">
        <f t="shared" si="24"/>
        <v>#REF!</v>
      </c>
      <c r="X152" t="e">
        <f t="shared" si="25"/>
        <v>#REF!</v>
      </c>
      <c r="Z152" t="e">
        <f t="shared" si="26"/>
        <v>#REF!</v>
      </c>
      <c r="AB152" t="e">
        <f t="shared" si="27"/>
        <v>#REF!</v>
      </c>
      <c r="AG152" t="e">
        <f t="shared" si="28"/>
        <v>#REF!</v>
      </c>
      <c r="AH152" s="5" t="e">
        <f t="shared" si="29"/>
        <v>#REF!</v>
      </c>
      <c r="AI152" t="e">
        <f t="shared" si="30"/>
        <v>#REF!</v>
      </c>
    </row>
    <row r="153" spans="1:37" ht="72" x14ac:dyDescent="0.55000000000000004">
      <c r="C153" t="s">
        <v>35</v>
      </c>
      <c r="D153" t="e">
        <f>IF(COUNTIF(#REF!,"&lt;&gt;NAN")=0, 0, IF(AND(OR(#REF!=#REF!,#REF!="NAN"), OR(#REF!=#REF!,#REF!="NAN"), OR(#REF!=#REF!,#REF!="NAN")),#REF!, 0))</f>
        <v>#REF!</v>
      </c>
      <c r="E153" t="e">
        <f>IF(#REF!="NAN","",IF(
   AND(OR(#REF!=#REF!,#REF!="NAN"),
     OR(#REF!=#REF!,#REF!="NAN"),
     OR(#REF!=#REF!,#REF!="NAN")),
   1,
   0))</f>
        <v>#REF!</v>
      </c>
      <c r="F153" t="s">
        <v>51</v>
      </c>
      <c r="G153" t="e">
        <f>IF(OR(#REF!="UP",#REF!="DOWN"),1,0)</f>
        <v>#REF!</v>
      </c>
      <c r="H153" t="e">
        <f>IF(OR(#REF!="UP",#REF!="DOWN"),1,0)</f>
        <v>#REF!</v>
      </c>
      <c r="I153" t="e">
        <f>IF(OR(#REF!="UP",#REF!="DOWN"),1,0)</f>
        <v>#REF!</v>
      </c>
      <c r="K153" s="7" t="s">
        <v>65</v>
      </c>
      <c r="L153" t="s">
        <v>69</v>
      </c>
      <c r="M153" t="e">
        <f>IF(OR(#REF!="UP",#REF!="DOWN"),0,1)</f>
        <v>#REF!</v>
      </c>
      <c r="N153" t="e">
        <f>IF(OR(#REF!="UP",#REF!="DOWN"),VLOOKUP($C153,Configuración!$H$2:$K$11,3),1)</f>
        <v>#REF!</v>
      </c>
      <c r="O153" t="e">
        <f>IF(OR(#REF!="UP",#REF!="DOWN"),VLOOKUP($C153,Configuración!$H$2:$K$11,4),1)</f>
        <v>#REF!</v>
      </c>
      <c r="P153" t="e">
        <f t="shared" si="22"/>
        <v>#REF!</v>
      </c>
      <c r="Q153" t="e">
        <f t="shared" si="23"/>
        <v>#REF!</v>
      </c>
      <c r="R153" t="e">
        <f t="shared" si="31"/>
        <v>#REF!</v>
      </c>
      <c r="T153" t="e">
        <f>IF(R153&lt;&gt;0,Configuración!$E$2,0)</f>
        <v>#REF!</v>
      </c>
      <c r="U153" t="e">
        <f>IF(R153&lt;&gt;0,Configuración!$F$2,0)</f>
        <v>#REF!</v>
      </c>
      <c r="V153" t="e">
        <f>IF(R153&lt;&gt;0,Configuración!$G$2,0)</f>
        <v>#REF!</v>
      </c>
      <c r="W153" t="e">
        <f t="shared" si="24"/>
        <v>#REF!</v>
      </c>
      <c r="X153" t="e">
        <f t="shared" si="25"/>
        <v>#REF!</v>
      </c>
      <c r="Z153" t="e">
        <f t="shared" si="26"/>
        <v>#REF!</v>
      </c>
      <c r="AB153" t="e">
        <f t="shared" si="27"/>
        <v>#REF!</v>
      </c>
      <c r="AG153" t="e">
        <f t="shared" si="28"/>
        <v>#REF!</v>
      </c>
      <c r="AH153" s="5" t="e">
        <f t="shared" si="29"/>
        <v>#REF!</v>
      </c>
      <c r="AI153" t="e">
        <f t="shared" si="30"/>
        <v>#REF!</v>
      </c>
    </row>
    <row r="154" spans="1:37" x14ac:dyDescent="0.55000000000000004">
      <c r="C154" t="s">
        <v>34</v>
      </c>
      <c r="D154" t="e">
        <f>IF(COUNTIF(#REF!,"&lt;&gt;NAN")=0, 0, IF(AND(OR(#REF!=#REF!,#REF!="NAN"), OR(#REF!=#REF!,#REF!="NAN"), OR(#REF!=#REF!,#REF!="NAN")),#REF!, 0))</f>
        <v>#REF!</v>
      </c>
      <c r="E154" t="e">
        <f>IF(#REF!="NAN","",IF(
   AND(OR(#REF!=#REF!,#REF!="NAN"),
     OR(#REF!=#REF!,#REF!="NAN"),
     OR(#REF!=#REF!,#REF!="NAN")),
   1,
   0))</f>
        <v>#REF!</v>
      </c>
      <c r="F154" t="s">
        <v>51</v>
      </c>
      <c r="G154" t="e">
        <f>IF(OR(#REF!="UP",#REF!="DOWN"),1,0)</f>
        <v>#REF!</v>
      </c>
      <c r="H154" t="e">
        <f>IF(OR(#REF!="UP",#REF!="DOWN"),1,0)</f>
        <v>#REF!</v>
      </c>
      <c r="I154" t="e">
        <f>IF(OR(#REF!="UP",#REF!="DOWN"),1,0)</f>
        <v>#REF!</v>
      </c>
      <c r="K154" s="7"/>
      <c r="L154" t="s">
        <v>70</v>
      </c>
      <c r="M154" t="e">
        <f>IF(OR(#REF!="UP",#REF!="DOWN"),0,1)</f>
        <v>#REF!</v>
      </c>
      <c r="N154" t="e">
        <f>IF(OR(#REF!="UP",#REF!="DOWN"),VLOOKUP($C154,Configuración!$H$2:$K$11,3),1)</f>
        <v>#REF!</v>
      </c>
      <c r="O154" t="e">
        <f>IF(OR(#REF!="UP",#REF!="DOWN"),VLOOKUP($C154,Configuración!$H$2:$K$11,4),1)</f>
        <v>#REF!</v>
      </c>
      <c r="P154" t="e">
        <f t="shared" si="22"/>
        <v>#REF!</v>
      </c>
      <c r="Q154" t="e">
        <f t="shared" si="23"/>
        <v>#REF!</v>
      </c>
      <c r="R154" t="e">
        <f t="shared" si="31"/>
        <v>#REF!</v>
      </c>
      <c r="T154" t="e">
        <f>IF(R154&lt;&gt;0,Configuración!$E$2,0)</f>
        <v>#REF!</v>
      </c>
      <c r="U154" t="e">
        <f>IF(R154&lt;&gt;0,Configuración!$F$2,0)</f>
        <v>#REF!</v>
      </c>
      <c r="V154" t="e">
        <f>IF(R154&lt;&gt;0,Configuración!$G$2,0)</f>
        <v>#REF!</v>
      </c>
      <c r="W154" t="e">
        <f t="shared" si="24"/>
        <v>#REF!</v>
      </c>
      <c r="X154" t="e">
        <f t="shared" si="25"/>
        <v>#REF!</v>
      </c>
      <c r="Z154" t="e">
        <f t="shared" si="26"/>
        <v>#REF!</v>
      </c>
      <c r="AB154" t="e">
        <f t="shared" si="27"/>
        <v>#REF!</v>
      </c>
      <c r="AG154" t="e">
        <f t="shared" si="28"/>
        <v>#REF!</v>
      </c>
      <c r="AH154" s="5" t="e">
        <f t="shared" si="29"/>
        <v>#REF!</v>
      </c>
      <c r="AI154" t="e">
        <f t="shared" si="30"/>
        <v>#REF!</v>
      </c>
    </row>
    <row r="155" spans="1:37" ht="57.6" x14ac:dyDescent="0.55000000000000004">
      <c r="C155" t="s">
        <v>27</v>
      </c>
      <c r="D155" t="e">
        <f>IF(COUNTIF(#REF!,"&lt;&gt;NAN")=0, 0, IF(AND(OR(#REF!=#REF!,#REF!="NAN"), OR(#REF!=#REF!,#REF!="NAN"), OR(#REF!=#REF!,#REF!="NAN")),#REF!, 0))</f>
        <v>#REF!</v>
      </c>
      <c r="E155" t="e">
        <f>IF(#REF!="NAN","",IF(
   AND(OR(#REF!=#REF!,#REF!="NAN"),
     OR(#REF!=#REF!,#REF!="NAN"),
     OR(#REF!=#REF!,#REF!="NAN")),
   1,
   0))</f>
        <v>#REF!</v>
      </c>
      <c r="F155" t="s">
        <v>51</v>
      </c>
      <c r="G155" t="e">
        <f>IF(OR(#REF!="UP",#REF!="DOWN"),1,0)</f>
        <v>#REF!</v>
      </c>
      <c r="H155" t="e">
        <f>IF(OR(#REF!="UP",#REF!="DOWN"),1,0)</f>
        <v>#REF!</v>
      </c>
      <c r="I155" t="e">
        <f>IF(OR(#REF!="UP",#REF!="DOWN"),1,0)</f>
        <v>#REF!</v>
      </c>
      <c r="K155" s="7" t="s">
        <v>66</v>
      </c>
      <c r="L155" t="s">
        <v>70</v>
      </c>
      <c r="M155" t="e">
        <f>IF(OR(#REF!="UP",#REF!="DOWN"),0,1)</f>
        <v>#REF!</v>
      </c>
      <c r="N155" t="e">
        <f>IF(OR(#REF!="UP",#REF!="DOWN"),VLOOKUP($C155,Configuración!$H$2:$K$11,3),1)</f>
        <v>#REF!</v>
      </c>
      <c r="O155" t="e">
        <f>IF(OR(#REF!="UP",#REF!="DOWN"),VLOOKUP($C155,Configuración!$H$2:$K$11,4),1)</f>
        <v>#REF!</v>
      </c>
      <c r="P155" t="e">
        <f t="shared" si="22"/>
        <v>#REF!</v>
      </c>
      <c r="Q155" t="e">
        <f t="shared" si="23"/>
        <v>#REF!</v>
      </c>
      <c r="R155" t="e">
        <f t="shared" si="31"/>
        <v>#REF!</v>
      </c>
      <c r="T155" t="e">
        <f>IF(R155&lt;&gt;0,Configuración!$E$2,0)</f>
        <v>#REF!</v>
      </c>
      <c r="U155" t="e">
        <f>IF(R155&lt;&gt;0,Configuración!$F$2,0)</f>
        <v>#REF!</v>
      </c>
      <c r="V155" t="e">
        <f>IF(R155&lt;&gt;0,Configuración!$G$2,0)</f>
        <v>#REF!</v>
      </c>
      <c r="W155" t="e">
        <f t="shared" si="24"/>
        <v>#REF!</v>
      </c>
      <c r="X155" t="e">
        <f t="shared" si="25"/>
        <v>#REF!</v>
      </c>
      <c r="Z155" t="e">
        <f t="shared" si="26"/>
        <v>#REF!</v>
      </c>
      <c r="AB155" t="e">
        <f t="shared" si="27"/>
        <v>#REF!</v>
      </c>
      <c r="AG155" t="e">
        <f t="shared" si="28"/>
        <v>#REF!</v>
      </c>
      <c r="AH155" s="5" t="e">
        <f t="shared" si="29"/>
        <v>#REF!</v>
      </c>
      <c r="AI155" t="e">
        <f t="shared" si="30"/>
        <v>#REF!</v>
      </c>
    </row>
    <row r="156" spans="1:37" x14ac:dyDescent="0.55000000000000004">
      <c r="C156" t="s">
        <v>28</v>
      </c>
      <c r="D156" t="e">
        <f>IF(COUNTIF(#REF!,"&lt;&gt;NAN")=0, 0, IF(AND(OR(#REF!=#REF!,#REF!="NAN"), OR(#REF!=#REF!,#REF!="NAN"), OR(#REF!=#REF!,#REF!="NAN")),#REF!, 0))</f>
        <v>#REF!</v>
      </c>
      <c r="E156" t="e">
        <f>IF(#REF!="NAN","",IF(
   AND(OR(#REF!=#REF!,#REF!="NAN"),
     OR(#REF!=#REF!,#REF!="NAN"),
     OR(#REF!=#REF!,#REF!="NAN")),
   1,
   0))</f>
        <v>#REF!</v>
      </c>
      <c r="F156" t="s">
        <v>51</v>
      </c>
      <c r="G156" t="e">
        <f>IF(OR(#REF!="UP",#REF!="DOWN"),1,0)</f>
        <v>#REF!</v>
      </c>
      <c r="H156" t="e">
        <f>IF(OR(#REF!="UP",#REF!="DOWN"),1,0)</f>
        <v>#REF!</v>
      </c>
      <c r="I156" t="e">
        <f>IF(OR(#REF!="UP",#REF!="DOWN"),1,0)</f>
        <v>#REF!</v>
      </c>
      <c r="K156" s="7"/>
      <c r="L156" t="s">
        <v>70</v>
      </c>
      <c r="M156" t="e">
        <f>IF(OR(#REF!="UP",#REF!="DOWN"),0,1)</f>
        <v>#REF!</v>
      </c>
      <c r="N156" t="e">
        <f>IF(OR(#REF!="UP",#REF!="DOWN"),VLOOKUP($C156,Configuración!$H$2:$K$11,3),1)</f>
        <v>#REF!</v>
      </c>
      <c r="O156" t="e">
        <f>IF(OR(#REF!="UP",#REF!="DOWN"),VLOOKUP($C156,Configuración!$H$2:$K$11,4),1)</f>
        <v>#REF!</v>
      </c>
      <c r="P156" t="e">
        <f t="shared" si="22"/>
        <v>#REF!</v>
      </c>
      <c r="Q156" t="e">
        <f t="shared" si="23"/>
        <v>#REF!</v>
      </c>
      <c r="R156" t="e">
        <f t="shared" si="31"/>
        <v>#REF!</v>
      </c>
      <c r="T156" t="e">
        <f>IF(R156&lt;&gt;0,Configuración!$E$2,0)</f>
        <v>#REF!</v>
      </c>
      <c r="U156" t="e">
        <f>IF(R156&lt;&gt;0,Configuración!$F$2,0)</f>
        <v>#REF!</v>
      </c>
      <c r="V156" t="e">
        <f>IF(R156&lt;&gt;0,Configuración!$G$2,0)</f>
        <v>#REF!</v>
      </c>
      <c r="W156" t="e">
        <f t="shared" si="24"/>
        <v>#REF!</v>
      </c>
      <c r="X156" t="e">
        <f t="shared" si="25"/>
        <v>#REF!</v>
      </c>
      <c r="Z156" t="e">
        <f t="shared" si="26"/>
        <v>#REF!</v>
      </c>
      <c r="AB156" t="e">
        <f t="shared" si="27"/>
        <v>#REF!</v>
      </c>
      <c r="AG156" t="e">
        <f t="shared" si="28"/>
        <v>#REF!</v>
      </c>
      <c r="AH156" s="5" t="e">
        <f t="shared" si="29"/>
        <v>#REF!</v>
      </c>
      <c r="AI156" t="e">
        <f t="shared" si="30"/>
        <v>#REF!</v>
      </c>
    </row>
    <row r="157" spans="1:37" x14ac:dyDescent="0.55000000000000004">
      <c r="C157" t="s">
        <v>30</v>
      </c>
      <c r="D157" t="e">
        <f>IF(COUNTIF(#REF!,"&lt;&gt;NAN")=0, 0, IF(AND(OR(#REF!=#REF!,#REF!="NAN"), OR(#REF!=#REF!,#REF!="NAN"), OR(#REF!=#REF!,#REF!="NAN")),#REF!, 0))</f>
        <v>#REF!</v>
      </c>
      <c r="E157" t="e">
        <f>IF(#REF!="NAN","",IF(
   AND(OR(#REF!=#REF!,#REF!="NAN"),
     OR(#REF!=#REF!,#REF!="NAN"),
     OR(#REF!=#REF!,#REF!="NAN")),
   1,
   0))</f>
        <v>#REF!</v>
      </c>
      <c r="F157" t="s">
        <v>51</v>
      </c>
      <c r="G157" t="e">
        <f>IF(OR(#REF!="UP",#REF!="DOWN"),1,0)</f>
        <v>#REF!</v>
      </c>
      <c r="H157" t="e">
        <f>IF(OR(#REF!="UP",#REF!="DOWN"),1,0)</f>
        <v>#REF!</v>
      </c>
      <c r="I157" t="e">
        <f>IF(OR(#REF!="UP",#REF!="DOWN"),1,0)</f>
        <v>#REF!</v>
      </c>
      <c r="K157" s="7"/>
      <c r="L157" t="s">
        <v>70</v>
      </c>
      <c r="M157" t="e">
        <f>IF(OR(#REF!="UP",#REF!="DOWN"),0,1)</f>
        <v>#REF!</v>
      </c>
      <c r="N157" t="e">
        <f>IF(OR(#REF!="UP",#REF!="DOWN"),VLOOKUP($C157,Configuración!$H$2:$K$11,3),1)</f>
        <v>#REF!</v>
      </c>
      <c r="O157" t="e">
        <f>IF(OR(#REF!="UP",#REF!="DOWN"),VLOOKUP($C157,Configuración!$H$2:$K$11,4),1)</f>
        <v>#REF!</v>
      </c>
      <c r="P157" t="e">
        <f t="shared" si="22"/>
        <v>#REF!</v>
      </c>
      <c r="Q157" t="e">
        <f t="shared" si="23"/>
        <v>#REF!</v>
      </c>
      <c r="R157" t="e">
        <f t="shared" si="31"/>
        <v>#REF!</v>
      </c>
      <c r="T157" t="e">
        <f>IF(R157&lt;&gt;0,Configuración!$E$2,0)</f>
        <v>#REF!</v>
      </c>
      <c r="U157" t="e">
        <f>IF(R157&lt;&gt;0,Configuración!$F$2,0)</f>
        <v>#REF!</v>
      </c>
      <c r="V157" t="e">
        <f>IF(R157&lt;&gt;0,Configuración!$G$2,0)</f>
        <v>#REF!</v>
      </c>
      <c r="W157" t="e">
        <f t="shared" si="24"/>
        <v>#REF!</v>
      </c>
      <c r="X157" t="e">
        <f t="shared" si="25"/>
        <v>#REF!</v>
      </c>
      <c r="Z157" t="e">
        <f t="shared" si="26"/>
        <v>#REF!</v>
      </c>
      <c r="AB157" t="e">
        <f t="shared" si="27"/>
        <v>#REF!</v>
      </c>
      <c r="AG157" t="e">
        <f t="shared" si="28"/>
        <v>#REF!</v>
      </c>
      <c r="AH157" s="5" t="e">
        <f t="shared" si="29"/>
        <v>#REF!</v>
      </c>
      <c r="AI157" t="e">
        <f t="shared" si="30"/>
        <v>#REF!</v>
      </c>
    </row>
    <row r="158" spans="1:37" x14ac:dyDescent="0.55000000000000004">
      <c r="C158" t="s">
        <v>29</v>
      </c>
      <c r="D158" t="e">
        <f>IF(COUNTIF(#REF!,"&lt;&gt;NAN")=0, 0, IF(AND(OR(#REF!=#REF!,#REF!="NAN"), OR(#REF!=#REF!,#REF!="NAN"), OR(#REF!=#REF!,#REF!="NAN")),#REF!, 0))</f>
        <v>#REF!</v>
      </c>
      <c r="E158" t="e">
        <f>IF(#REF!="NAN","",IF(
   AND(OR(#REF!=#REF!,#REF!="NAN"),
     OR(#REF!=#REF!,#REF!="NAN"),
     OR(#REF!=#REF!,#REF!="NAN")),
   1,
   0))</f>
        <v>#REF!</v>
      </c>
      <c r="F158" t="s">
        <v>51</v>
      </c>
      <c r="G158" t="e">
        <f>IF(OR(#REF!="UP",#REF!="DOWN"),1,0)</f>
        <v>#REF!</v>
      </c>
      <c r="H158" t="e">
        <f>IF(OR(#REF!="UP",#REF!="DOWN"),1,0)</f>
        <v>#REF!</v>
      </c>
      <c r="I158" t="e">
        <f>IF(OR(#REF!="UP",#REF!="DOWN"),1,0)</f>
        <v>#REF!</v>
      </c>
      <c r="K158" s="7"/>
      <c r="L158" t="s">
        <v>70</v>
      </c>
      <c r="M158" t="e">
        <f>IF(OR(#REF!="UP",#REF!="DOWN"),0,1)</f>
        <v>#REF!</v>
      </c>
      <c r="N158" t="e">
        <f>IF(OR(#REF!="UP",#REF!="DOWN"),VLOOKUP($C158,Configuración!$H$2:$K$11,3),1)</f>
        <v>#REF!</v>
      </c>
      <c r="O158" t="e">
        <f>IF(OR(#REF!="UP",#REF!="DOWN"),VLOOKUP($C158,Configuración!$H$2:$K$11,4),1)</f>
        <v>#REF!</v>
      </c>
      <c r="P158" t="e">
        <f t="shared" si="22"/>
        <v>#REF!</v>
      </c>
      <c r="Q158" t="e">
        <f t="shared" si="23"/>
        <v>#REF!</v>
      </c>
      <c r="R158" t="e">
        <f t="shared" si="31"/>
        <v>#REF!</v>
      </c>
      <c r="T158" t="e">
        <f>IF(R158&lt;&gt;0,Configuración!$E$2,0)</f>
        <v>#REF!</v>
      </c>
      <c r="U158" t="e">
        <f>IF(R158&lt;&gt;0,Configuración!$F$2,0)</f>
        <v>#REF!</v>
      </c>
      <c r="V158" t="e">
        <f>IF(R158&lt;&gt;0,Configuración!$G$2,0)</f>
        <v>#REF!</v>
      </c>
      <c r="W158" t="e">
        <f t="shared" si="24"/>
        <v>#REF!</v>
      </c>
      <c r="X158" t="e">
        <f t="shared" si="25"/>
        <v>#REF!</v>
      </c>
      <c r="Z158" t="e">
        <f t="shared" si="26"/>
        <v>#REF!</v>
      </c>
      <c r="AB158" t="e">
        <f t="shared" si="27"/>
        <v>#REF!</v>
      </c>
      <c r="AG158" t="e">
        <f t="shared" si="28"/>
        <v>#REF!</v>
      </c>
      <c r="AH158" s="5" t="e">
        <f t="shared" si="29"/>
        <v>#REF!</v>
      </c>
      <c r="AI158" t="e">
        <f t="shared" si="30"/>
        <v>#REF!</v>
      </c>
    </row>
    <row r="159" spans="1:37" x14ac:dyDescent="0.55000000000000004">
      <c r="C159" t="s">
        <v>31</v>
      </c>
      <c r="D159" t="e">
        <f>IF(COUNTIF(#REF!,"&lt;&gt;NAN")=0, 0, IF(AND(OR(#REF!=#REF!,#REF!="NAN"), OR(#REF!=#REF!,#REF!="NAN"), OR(#REF!=#REF!,#REF!="NAN")),#REF!, 0))</f>
        <v>#REF!</v>
      </c>
      <c r="E159" t="e">
        <f>IF(#REF!="NAN","",IF(
   AND(OR(#REF!=#REF!,#REF!="NAN"),
     OR(#REF!=#REF!,#REF!="NAN"),
     OR(#REF!=#REF!,#REF!="NAN")),
   1,
   0))</f>
        <v>#REF!</v>
      </c>
      <c r="F159" t="s">
        <v>51</v>
      </c>
      <c r="G159" t="e">
        <f>IF(OR(#REF!="UP",#REF!="DOWN"),1,0)</f>
        <v>#REF!</v>
      </c>
      <c r="H159" t="e">
        <f>IF(OR(#REF!="UP",#REF!="DOWN"),1,0)</f>
        <v>#REF!</v>
      </c>
      <c r="I159" t="e">
        <f>IF(OR(#REF!="UP",#REF!="DOWN"),1,0)</f>
        <v>#REF!</v>
      </c>
      <c r="K159" s="7"/>
      <c r="L159" t="s">
        <v>70</v>
      </c>
      <c r="M159" t="e">
        <f>IF(OR(#REF!="UP",#REF!="DOWN"),0,1)</f>
        <v>#REF!</v>
      </c>
      <c r="N159" t="e">
        <f>IF(OR(#REF!="UP",#REF!="DOWN"),VLOOKUP($C159,Configuración!$H$2:$K$11,3),1)</f>
        <v>#REF!</v>
      </c>
      <c r="O159" t="e">
        <f>IF(OR(#REF!="UP",#REF!="DOWN"),VLOOKUP($C159,Configuración!$H$2:$K$11,4),1)</f>
        <v>#REF!</v>
      </c>
      <c r="P159" t="e">
        <f t="shared" si="22"/>
        <v>#REF!</v>
      </c>
      <c r="Q159" t="e">
        <f t="shared" si="23"/>
        <v>#REF!</v>
      </c>
      <c r="R159" t="e">
        <f t="shared" si="31"/>
        <v>#REF!</v>
      </c>
      <c r="T159" t="e">
        <f>IF(R159&lt;&gt;0,Configuración!$E$2,0)</f>
        <v>#REF!</v>
      </c>
      <c r="U159" t="e">
        <f>IF(R159&lt;&gt;0,Configuración!$F$2,0)</f>
        <v>#REF!</v>
      </c>
      <c r="V159" t="e">
        <f>IF(R159&lt;&gt;0,Configuración!$G$2,0)</f>
        <v>#REF!</v>
      </c>
      <c r="W159" t="e">
        <f t="shared" si="24"/>
        <v>#REF!</v>
      </c>
      <c r="X159" t="e">
        <f t="shared" si="25"/>
        <v>#REF!</v>
      </c>
      <c r="Z159" t="e">
        <f t="shared" si="26"/>
        <v>#REF!</v>
      </c>
      <c r="AB159" t="e">
        <f t="shared" si="27"/>
        <v>#REF!</v>
      </c>
      <c r="AG159" t="e">
        <f t="shared" si="28"/>
        <v>#REF!</v>
      </c>
      <c r="AH159" s="5" t="e">
        <f t="shared" si="29"/>
        <v>#REF!</v>
      </c>
      <c r="AI159" t="e">
        <f t="shared" si="30"/>
        <v>#REF!</v>
      </c>
    </row>
    <row r="160" spans="1:37" x14ac:dyDescent="0.55000000000000004">
      <c r="A160" s="3">
        <v>45939</v>
      </c>
      <c r="C160" t="s">
        <v>32</v>
      </c>
      <c r="D160" t="e">
        <f>IF(COUNTIF(#REF!,"&lt;&gt;NAN")=0, 0, IF(AND(OR(#REF!=#REF!,#REF!="NAN"), OR(#REF!=#REF!,#REF!="NAN"), OR(#REF!=#REF!,#REF!="NAN")),#REF!, 0))</f>
        <v>#REF!</v>
      </c>
      <c r="E160" t="e">
        <f>IF(#REF!="NAN","",IF(
   AND(OR(#REF!=#REF!,#REF!="NAN"),
     OR(#REF!=#REF!,#REF!="NAN"),
     OR(#REF!=#REF!,#REF!="NAN")),
   1,
   0))</f>
        <v>#REF!</v>
      </c>
      <c r="F160" t="s">
        <v>38</v>
      </c>
      <c r="G160" t="e">
        <f>IF(OR(#REF!="UP",#REF!="DOWN"),1,0)</f>
        <v>#REF!</v>
      </c>
      <c r="H160" t="e">
        <f>IF(OR(#REF!="UP",#REF!="DOWN"),1,0)</f>
        <v>#REF!</v>
      </c>
      <c r="I160" t="e">
        <f>IF(OR(#REF!="UP",#REF!="DOWN"),1,0)</f>
        <v>#REF!</v>
      </c>
      <c r="K160" s="7"/>
      <c r="L160" t="s">
        <v>71</v>
      </c>
      <c r="M160" t="e">
        <f>IF(OR(#REF!="UP",#REF!="DOWN"),0,1)</f>
        <v>#REF!</v>
      </c>
      <c r="N160" t="e">
        <f>IF(OR(#REF!="UP",#REF!="DOWN"),VLOOKUP($C160,Configuración!$H$2:$K$11,3),1)</f>
        <v>#REF!</v>
      </c>
      <c r="O160" t="e">
        <f>IF(OR(#REF!="UP",#REF!="DOWN"),VLOOKUP($C160,Configuración!$H$2:$K$11,4),1)</f>
        <v>#REF!</v>
      </c>
      <c r="P160" t="e">
        <f t="shared" si="22"/>
        <v>#REF!</v>
      </c>
      <c r="Q160" t="e">
        <f t="shared" si="23"/>
        <v>#REF!</v>
      </c>
      <c r="R160" t="s">
        <v>38</v>
      </c>
      <c r="S160">
        <f>S150</f>
        <v>0.91685000000000005</v>
      </c>
      <c r="T160">
        <f>IF(R160&lt;&gt;0,Configuración!$E$2,0)</f>
        <v>1</v>
      </c>
      <c r="U160">
        <f>IF(R160&lt;&gt;0,Configuración!$F$2,0)</f>
        <v>2</v>
      </c>
      <c r="V160">
        <f>IF(R160&lt;&gt;0,Configuración!$G$2,0)</f>
        <v>5</v>
      </c>
      <c r="W160">
        <f t="shared" si="24"/>
        <v>0.92601850000000008</v>
      </c>
      <c r="X160">
        <f t="shared" si="25"/>
        <v>0.89851300000000001</v>
      </c>
      <c r="Y160">
        <v>0.92108999999999996</v>
      </c>
      <c r="Z160" t="str">
        <f>IF(R160="DOWN",IF(Y160 &lt; S160 * (1 - 0.01), Y160 * (1 + 0.005), ""),IF(Y160 &gt; S160 * (1 + 0.01), Y160 * (1 - 0.005), ""))</f>
        <v/>
      </c>
      <c r="AB160">
        <f t="shared" si="27"/>
        <v>0.72040000000000004</v>
      </c>
      <c r="AG160">
        <f t="shared" si="28"/>
        <v>1000</v>
      </c>
      <c r="AH160" s="5">
        <f t="shared" si="29"/>
        <v>720.40000000000009</v>
      </c>
      <c r="AI160" t="str">
        <f t="shared" si="30"/>
        <v>MANTENER</v>
      </c>
      <c r="AK160">
        <v>1</v>
      </c>
    </row>
    <row r="161" spans="1:35" x14ac:dyDescent="0.55000000000000004">
      <c r="C161" t="s">
        <v>26</v>
      </c>
      <c r="D161" t="e">
        <f>IF(COUNTIF(#REF!,"&lt;&gt;NAN")=0, 0, IF(AND(OR(#REF!=#REF!,#REF!="NAN"), OR(#REF!=#REF!,#REF!="NAN"), OR(#REF!=#REF!,#REF!="NAN")),#REF!, 0))</f>
        <v>#REF!</v>
      </c>
      <c r="E161" t="e">
        <f>IF(#REF!="NAN","",IF(
   AND(OR(#REF!=#REF!,#REF!="NAN"),
     OR(#REF!=#REF!,#REF!="NAN"),
     OR(#REF!=#REF!,#REF!="NAN")),
   1,
   0))</f>
        <v>#REF!</v>
      </c>
      <c r="F161" t="s">
        <v>38</v>
      </c>
      <c r="G161" t="e">
        <f>IF(OR(#REF!="UP",#REF!="DOWN"),1,0)</f>
        <v>#REF!</v>
      </c>
      <c r="H161" t="e">
        <f>IF(OR(#REF!="UP",#REF!="DOWN"),1,0)</f>
        <v>#REF!</v>
      </c>
      <c r="I161" t="e">
        <f>IF(OR(#REF!="UP",#REF!="DOWN"),1,0)</f>
        <v>#REF!</v>
      </c>
      <c r="K161" s="7"/>
      <c r="M161" t="e">
        <f>IF(OR(#REF!="UP",#REF!="DOWN"),0,1)</f>
        <v>#REF!</v>
      </c>
      <c r="N161" t="e">
        <f>IF(OR(#REF!="UP",#REF!="DOWN"),VLOOKUP($C161,Configuración!$H$2:$K$11,3),1)</f>
        <v>#REF!</v>
      </c>
      <c r="O161" t="e">
        <f>IF(OR(#REF!="UP",#REF!="DOWN"),VLOOKUP($C161,Configuración!$H$2:$K$11,4),1)</f>
        <v>#REF!</v>
      </c>
      <c r="P161" t="e">
        <f t="shared" si="22"/>
        <v>#REF!</v>
      </c>
      <c r="Q161" t="e">
        <f t="shared" si="23"/>
        <v>#REF!</v>
      </c>
      <c r="R161" t="e">
        <f t="shared" si="31"/>
        <v>#REF!</v>
      </c>
      <c r="T161" t="e">
        <f>IF(R161&lt;&gt;0,Configuración!$E$2,0)</f>
        <v>#REF!</v>
      </c>
      <c r="U161" t="e">
        <f>IF(R161&lt;&gt;0,Configuración!$F$2,0)</f>
        <v>#REF!</v>
      </c>
      <c r="V161" t="e">
        <f>IF(R161&lt;&gt;0,Configuración!$G$2,0)</f>
        <v>#REF!</v>
      </c>
      <c r="W161" t="e">
        <f t="shared" si="24"/>
        <v>#REF!</v>
      </c>
      <c r="X161" t="e">
        <f t="shared" si="25"/>
        <v>#REF!</v>
      </c>
      <c r="Z161" t="e">
        <f t="shared" si="26"/>
        <v>#REF!</v>
      </c>
      <c r="AB161" t="e">
        <f t="shared" si="27"/>
        <v>#REF!</v>
      </c>
      <c r="AG161" t="e">
        <f t="shared" si="28"/>
        <v>#REF!</v>
      </c>
      <c r="AH161" s="5" t="e">
        <f t="shared" si="29"/>
        <v>#REF!</v>
      </c>
      <c r="AI161" t="e">
        <f t="shared" si="30"/>
        <v>#REF!</v>
      </c>
    </row>
    <row r="162" spans="1:35" x14ac:dyDescent="0.55000000000000004">
      <c r="C162" t="s">
        <v>33</v>
      </c>
      <c r="D162" t="e">
        <f>IF(COUNTIF(#REF!,"&lt;&gt;NAN")=0, 0, IF(AND(OR(#REF!=#REF!,#REF!="NAN"), OR(#REF!=#REF!,#REF!="NAN"), OR(#REF!=#REF!,#REF!="NAN")),#REF!, 0))</f>
        <v>#REF!</v>
      </c>
      <c r="E162" t="e">
        <f>IF(#REF!="NAN","",IF(
   AND(OR(#REF!=#REF!,#REF!="NAN"),
     OR(#REF!=#REF!,#REF!="NAN"),
     OR(#REF!=#REF!,#REF!="NAN")),
   1,
   0))</f>
        <v>#REF!</v>
      </c>
      <c r="F162" t="s">
        <v>51</v>
      </c>
      <c r="G162" t="e">
        <f>IF(OR(#REF!="UP",#REF!="DOWN"),1,0)</f>
        <v>#REF!</v>
      </c>
      <c r="H162" t="e">
        <f>IF(OR(#REF!="UP",#REF!="DOWN"),1,0)</f>
        <v>#REF!</v>
      </c>
      <c r="I162" t="e">
        <f>IF(OR(#REF!="UP",#REF!="DOWN"),1,0)</f>
        <v>#REF!</v>
      </c>
      <c r="K162" s="7"/>
      <c r="M162" t="e">
        <f>IF(OR(#REF!="UP",#REF!="DOWN"),0,1)</f>
        <v>#REF!</v>
      </c>
      <c r="N162" t="e">
        <f>IF(OR(#REF!="UP",#REF!="DOWN"),VLOOKUP($C162,Configuración!$H$2:$K$11,3),1)</f>
        <v>#REF!</v>
      </c>
      <c r="O162" t="e">
        <f>IF(OR(#REF!="UP",#REF!="DOWN"),VLOOKUP($C162,Configuración!$H$2:$K$11,4),1)</f>
        <v>#REF!</v>
      </c>
      <c r="P162" t="e">
        <f t="shared" si="22"/>
        <v>#REF!</v>
      </c>
      <c r="Q162" t="e">
        <f t="shared" si="23"/>
        <v>#REF!</v>
      </c>
      <c r="R162" t="e">
        <f t="shared" si="31"/>
        <v>#REF!</v>
      </c>
      <c r="T162" t="e">
        <f>IF(R162&lt;&gt;0,Configuración!$E$2,0)</f>
        <v>#REF!</v>
      </c>
      <c r="U162" t="e">
        <f>IF(R162&lt;&gt;0,Configuración!$F$2,0)</f>
        <v>#REF!</v>
      </c>
      <c r="V162" t="e">
        <f>IF(R162&lt;&gt;0,Configuración!$G$2,0)</f>
        <v>#REF!</v>
      </c>
      <c r="W162" t="e">
        <f t="shared" si="24"/>
        <v>#REF!</v>
      </c>
      <c r="X162" t="e">
        <f t="shared" si="25"/>
        <v>#REF!</v>
      </c>
      <c r="Z162" t="e">
        <f t="shared" si="26"/>
        <v>#REF!</v>
      </c>
      <c r="AB162" t="e">
        <f t="shared" si="27"/>
        <v>#REF!</v>
      </c>
      <c r="AG162" t="e">
        <f t="shared" si="28"/>
        <v>#REF!</v>
      </c>
      <c r="AH162" s="5" t="e">
        <f t="shared" si="29"/>
        <v>#REF!</v>
      </c>
      <c r="AI162" t="e">
        <f t="shared" si="30"/>
        <v>#REF!</v>
      </c>
    </row>
    <row r="163" spans="1:35" x14ac:dyDescent="0.55000000000000004">
      <c r="C163" t="s">
        <v>35</v>
      </c>
      <c r="D163" t="e">
        <f>IF(COUNTIF(#REF!,"&lt;&gt;NAN")=0, 0, IF(AND(OR(#REF!=#REF!,#REF!="NAN"), OR(#REF!=#REF!,#REF!="NAN"), OR(#REF!=#REF!,#REF!="NAN")),#REF!, 0))</f>
        <v>#REF!</v>
      </c>
      <c r="E163" t="e">
        <f>IF(#REF!="NAN","",IF(
   AND(OR(#REF!=#REF!,#REF!="NAN"),
     OR(#REF!=#REF!,#REF!="NAN"),
     OR(#REF!=#REF!,#REF!="NAN")),
   1,
   0))</f>
        <v>#REF!</v>
      </c>
      <c r="F163" t="s">
        <v>51</v>
      </c>
      <c r="G163" t="e">
        <f>IF(OR(#REF!="UP",#REF!="DOWN"),1,0)</f>
        <v>#REF!</v>
      </c>
      <c r="H163" t="e">
        <f>IF(OR(#REF!="UP",#REF!="DOWN"),1,0)</f>
        <v>#REF!</v>
      </c>
      <c r="I163" t="e">
        <f>IF(OR(#REF!="UP",#REF!="DOWN"),1,0)</f>
        <v>#REF!</v>
      </c>
      <c r="K163" s="7"/>
      <c r="M163" t="e">
        <f>IF(OR(#REF!="UP",#REF!="DOWN"),0,1)</f>
        <v>#REF!</v>
      </c>
      <c r="N163" t="e">
        <f>IF(OR(#REF!="UP",#REF!="DOWN"),VLOOKUP($C163,Configuración!$H$2:$K$11,3),1)</f>
        <v>#REF!</v>
      </c>
      <c r="O163" t="e">
        <f>IF(OR(#REF!="UP",#REF!="DOWN"),VLOOKUP($C163,Configuración!$H$2:$K$11,4),1)</f>
        <v>#REF!</v>
      </c>
      <c r="P163" t="e">
        <f t="shared" si="22"/>
        <v>#REF!</v>
      </c>
      <c r="Q163" t="e">
        <f t="shared" si="23"/>
        <v>#REF!</v>
      </c>
      <c r="R163" t="e">
        <f t="shared" si="31"/>
        <v>#REF!</v>
      </c>
      <c r="T163" t="e">
        <f>IF(R163&lt;&gt;0,Configuración!$E$2,0)</f>
        <v>#REF!</v>
      </c>
      <c r="U163" t="e">
        <f>IF(R163&lt;&gt;0,Configuración!$F$2,0)</f>
        <v>#REF!</v>
      </c>
      <c r="V163" t="e">
        <f>IF(R163&lt;&gt;0,Configuración!$G$2,0)</f>
        <v>#REF!</v>
      </c>
      <c r="W163" t="e">
        <f t="shared" si="24"/>
        <v>#REF!</v>
      </c>
      <c r="X163" t="e">
        <f t="shared" si="25"/>
        <v>#REF!</v>
      </c>
      <c r="Z163" t="e">
        <f t="shared" si="26"/>
        <v>#REF!</v>
      </c>
      <c r="AB163" t="e">
        <f t="shared" si="27"/>
        <v>#REF!</v>
      </c>
      <c r="AG163" t="e">
        <f t="shared" si="28"/>
        <v>#REF!</v>
      </c>
      <c r="AH163" s="5" t="e">
        <f t="shared" si="29"/>
        <v>#REF!</v>
      </c>
      <c r="AI163" t="e">
        <f t="shared" si="30"/>
        <v>#REF!</v>
      </c>
    </row>
    <row r="164" spans="1:35" x14ac:dyDescent="0.55000000000000004">
      <c r="C164" t="s">
        <v>34</v>
      </c>
      <c r="D164" t="e">
        <f>IF(COUNTIF(#REF!,"&lt;&gt;NAN")=0, 0, IF(AND(OR(#REF!=#REF!,#REF!="NAN"), OR(#REF!=#REF!,#REF!="NAN"), OR(#REF!=#REF!,#REF!="NAN")),#REF!, 0))</f>
        <v>#REF!</v>
      </c>
      <c r="E164" t="e">
        <f>IF(#REF!="NAN","",IF(
   AND(OR(#REF!=#REF!,#REF!="NAN"),
     OR(#REF!=#REF!,#REF!="NAN"),
     OR(#REF!=#REF!,#REF!="NAN")),
   1,
   0))</f>
        <v>#REF!</v>
      </c>
      <c r="F164" t="s">
        <v>51</v>
      </c>
      <c r="G164" t="e">
        <f>IF(OR(#REF!="UP",#REF!="DOWN"),1,0)</f>
        <v>#REF!</v>
      </c>
      <c r="H164" t="e">
        <f>IF(OR(#REF!="UP",#REF!="DOWN"),1,0)</f>
        <v>#REF!</v>
      </c>
      <c r="I164" t="e">
        <f>IF(OR(#REF!="UP",#REF!="DOWN"),1,0)</f>
        <v>#REF!</v>
      </c>
      <c r="K164" s="7"/>
      <c r="M164" t="e">
        <f>IF(OR(#REF!="UP",#REF!="DOWN"),0,1)</f>
        <v>#REF!</v>
      </c>
      <c r="N164" t="e">
        <f>IF(OR(#REF!="UP",#REF!="DOWN"),VLOOKUP($C164,Configuración!$H$2:$K$11,3),1)</f>
        <v>#REF!</v>
      </c>
      <c r="O164" t="e">
        <f>IF(OR(#REF!="UP",#REF!="DOWN"),VLOOKUP($C164,Configuración!$H$2:$K$11,4),1)</f>
        <v>#REF!</v>
      </c>
      <c r="P164" t="e">
        <f t="shared" si="22"/>
        <v>#REF!</v>
      </c>
      <c r="Q164" t="e">
        <f t="shared" si="23"/>
        <v>#REF!</v>
      </c>
      <c r="R164" t="e">
        <f t="shared" si="31"/>
        <v>#REF!</v>
      </c>
      <c r="T164" t="e">
        <f>IF(R164&lt;&gt;0,Configuración!$E$2,0)</f>
        <v>#REF!</v>
      </c>
      <c r="U164" t="e">
        <f>IF(R164&lt;&gt;0,Configuración!$F$2,0)</f>
        <v>#REF!</v>
      </c>
      <c r="V164" t="e">
        <f>IF(R164&lt;&gt;0,Configuración!$G$2,0)</f>
        <v>#REF!</v>
      </c>
      <c r="W164" t="e">
        <f t="shared" si="24"/>
        <v>#REF!</v>
      </c>
      <c r="X164" t="e">
        <f t="shared" si="25"/>
        <v>#REF!</v>
      </c>
      <c r="Z164" t="e">
        <f t="shared" si="26"/>
        <v>#REF!</v>
      </c>
      <c r="AB164" t="e">
        <f t="shared" si="27"/>
        <v>#REF!</v>
      </c>
      <c r="AG164" t="e">
        <f t="shared" si="28"/>
        <v>#REF!</v>
      </c>
      <c r="AH164" s="5" t="e">
        <f t="shared" si="29"/>
        <v>#REF!</v>
      </c>
      <c r="AI164" t="e">
        <f t="shared" si="30"/>
        <v>#REF!</v>
      </c>
    </row>
    <row r="165" spans="1:35" x14ac:dyDescent="0.55000000000000004">
      <c r="C165" t="s">
        <v>27</v>
      </c>
      <c r="D165" t="e">
        <f>IF(COUNTIF(#REF!,"&lt;&gt;NAN")=0, 0, IF(AND(OR(#REF!=#REF!,#REF!="NAN"), OR(#REF!=#REF!,#REF!="NAN"), OR(#REF!=#REF!,#REF!="NAN")),#REF!, 0))</f>
        <v>#REF!</v>
      </c>
      <c r="E165" t="e">
        <f>IF(#REF!="NAN","",IF(
   AND(OR(#REF!=#REF!,#REF!="NAN"),
     OR(#REF!=#REF!,#REF!="NAN"),
     OR(#REF!=#REF!,#REF!="NAN")),
   1,
   0))</f>
        <v>#REF!</v>
      </c>
      <c r="F165" t="s">
        <v>51</v>
      </c>
      <c r="G165" t="e">
        <f>IF(OR(#REF!="UP",#REF!="DOWN"),1,0)</f>
        <v>#REF!</v>
      </c>
      <c r="H165" t="e">
        <f>IF(OR(#REF!="UP",#REF!="DOWN"),1,0)</f>
        <v>#REF!</v>
      </c>
      <c r="I165" t="e">
        <f>IF(OR(#REF!="UP",#REF!="DOWN"),1,0)</f>
        <v>#REF!</v>
      </c>
      <c r="K165" s="7"/>
      <c r="M165" t="e">
        <f>IF(OR(#REF!="UP",#REF!="DOWN"),0,1)</f>
        <v>#REF!</v>
      </c>
      <c r="N165" t="e">
        <f>IF(OR(#REF!="UP",#REF!="DOWN"),VLOOKUP($C165,Configuración!$H$2:$K$11,3),1)</f>
        <v>#REF!</v>
      </c>
      <c r="O165" t="e">
        <f>IF(OR(#REF!="UP",#REF!="DOWN"),VLOOKUP($C165,Configuración!$H$2:$K$11,4),1)</f>
        <v>#REF!</v>
      </c>
      <c r="P165" t="e">
        <f t="shared" si="22"/>
        <v>#REF!</v>
      </c>
      <c r="Q165" t="e">
        <f t="shared" si="23"/>
        <v>#REF!</v>
      </c>
      <c r="R165" t="e">
        <f t="shared" si="31"/>
        <v>#REF!</v>
      </c>
      <c r="T165" t="e">
        <f>IF(R165&lt;&gt;0,Configuración!$E$2,0)</f>
        <v>#REF!</v>
      </c>
      <c r="U165" t="e">
        <f>IF(R165&lt;&gt;0,Configuración!$F$2,0)</f>
        <v>#REF!</v>
      </c>
      <c r="V165" t="e">
        <f>IF(R165&lt;&gt;0,Configuración!$G$2,0)</f>
        <v>#REF!</v>
      </c>
      <c r="W165" t="e">
        <f t="shared" si="24"/>
        <v>#REF!</v>
      </c>
      <c r="X165" t="e">
        <f t="shared" si="25"/>
        <v>#REF!</v>
      </c>
      <c r="Z165" t="e">
        <f t="shared" si="26"/>
        <v>#REF!</v>
      </c>
      <c r="AB165" t="e">
        <f t="shared" si="27"/>
        <v>#REF!</v>
      </c>
      <c r="AG165" t="e">
        <f t="shared" si="28"/>
        <v>#REF!</v>
      </c>
      <c r="AH165" s="5" t="e">
        <f t="shared" si="29"/>
        <v>#REF!</v>
      </c>
      <c r="AI165" t="e">
        <f t="shared" si="30"/>
        <v>#REF!</v>
      </c>
    </row>
    <row r="166" spans="1:35" x14ac:dyDescent="0.55000000000000004">
      <c r="C166" t="s">
        <v>28</v>
      </c>
      <c r="D166" t="e">
        <f>IF(COUNTIF(#REF!,"&lt;&gt;NAN")=0, 0, IF(AND(OR(#REF!=#REF!,#REF!="NAN"), OR(#REF!=#REF!,#REF!="NAN"), OR(#REF!=#REF!,#REF!="NAN")),#REF!, 0))</f>
        <v>#REF!</v>
      </c>
      <c r="E166" t="e">
        <f>IF(#REF!="NAN","",IF(
   AND(OR(#REF!=#REF!,#REF!="NAN"),
     OR(#REF!=#REF!,#REF!="NAN"),
     OR(#REF!=#REF!,#REF!="NAN")),
   1,
   0))</f>
        <v>#REF!</v>
      </c>
      <c r="F166" t="s">
        <v>51</v>
      </c>
      <c r="G166" t="e">
        <f>IF(OR(#REF!="UP",#REF!="DOWN"),1,0)</f>
        <v>#REF!</v>
      </c>
      <c r="H166" t="e">
        <f>IF(OR(#REF!="UP",#REF!="DOWN"),1,0)</f>
        <v>#REF!</v>
      </c>
      <c r="I166" t="e">
        <f>IF(OR(#REF!="UP",#REF!="DOWN"),1,0)</f>
        <v>#REF!</v>
      </c>
      <c r="K166" s="7"/>
      <c r="M166" t="e">
        <f>IF(OR(#REF!="UP",#REF!="DOWN"),0,1)</f>
        <v>#REF!</v>
      </c>
      <c r="N166" t="e">
        <f>IF(OR(#REF!="UP",#REF!="DOWN"),VLOOKUP($C166,Configuración!$H$2:$K$11,3),1)</f>
        <v>#REF!</v>
      </c>
      <c r="O166" t="e">
        <f>IF(OR(#REF!="UP",#REF!="DOWN"),VLOOKUP($C166,Configuración!$H$2:$K$11,4),1)</f>
        <v>#REF!</v>
      </c>
      <c r="P166" t="e">
        <f t="shared" si="22"/>
        <v>#REF!</v>
      </c>
      <c r="Q166" t="e">
        <f t="shared" si="23"/>
        <v>#REF!</v>
      </c>
      <c r="R166" t="e">
        <f t="shared" si="31"/>
        <v>#REF!</v>
      </c>
      <c r="T166" t="e">
        <f>IF(R166&lt;&gt;0,Configuración!$E$2,0)</f>
        <v>#REF!</v>
      </c>
      <c r="U166" t="e">
        <f>IF(R166&lt;&gt;0,Configuración!$F$2,0)</f>
        <v>#REF!</v>
      </c>
      <c r="V166" t="e">
        <f>IF(R166&lt;&gt;0,Configuración!$G$2,0)</f>
        <v>#REF!</v>
      </c>
      <c r="W166" t="e">
        <f t="shared" si="24"/>
        <v>#REF!</v>
      </c>
      <c r="X166" t="e">
        <f t="shared" si="25"/>
        <v>#REF!</v>
      </c>
      <c r="Z166" t="e">
        <f t="shared" si="26"/>
        <v>#REF!</v>
      </c>
      <c r="AB166" t="e">
        <f t="shared" si="27"/>
        <v>#REF!</v>
      </c>
      <c r="AG166" t="e">
        <f t="shared" si="28"/>
        <v>#REF!</v>
      </c>
      <c r="AH166" s="5" t="e">
        <f t="shared" si="29"/>
        <v>#REF!</v>
      </c>
      <c r="AI166" t="e">
        <f t="shared" si="30"/>
        <v>#REF!</v>
      </c>
    </row>
    <row r="167" spans="1:35" x14ac:dyDescent="0.55000000000000004">
      <c r="C167" t="s">
        <v>30</v>
      </c>
      <c r="D167" t="e">
        <f>IF(COUNTIF(#REF!,"&lt;&gt;NAN")=0, 0, IF(AND(OR(#REF!=#REF!,#REF!="NAN"), OR(#REF!=#REF!,#REF!="NAN"), OR(#REF!=#REF!,#REF!="NAN")),#REF!, 0))</f>
        <v>#REF!</v>
      </c>
      <c r="E167" t="e">
        <f>IF(#REF!="NAN","",IF(
   AND(OR(#REF!=#REF!,#REF!="NAN"),
     OR(#REF!=#REF!,#REF!="NAN"),
     OR(#REF!=#REF!,#REF!="NAN")),
   1,
   0))</f>
        <v>#REF!</v>
      </c>
      <c r="F167" t="s">
        <v>51</v>
      </c>
      <c r="G167" t="e">
        <f>IF(OR(#REF!="UP",#REF!="DOWN"),1,0)</f>
        <v>#REF!</v>
      </c>
      <c r="H167" t="e">
        <f>IF(OR(#REF!="UP",#REF!="DOWN"),1,0)</f>
        <v>#REF!</v>
      </c>
      <c r="I167" t="e">
        <f>IF(OR(#REF!="UP",#REF!="DOWN"),1,0)</f>
        <v>#REF!</v>
      </c>
      <c r="K167" s="7"/>
      <c r="M167" t="e">
        <f>IF(OR(#REF!="UP",#REF!="DOWN"),0,1)</f>
        <v>#REF!</v>
      </c>
      <c r="N167" t="e">
        <f>IF(OR(#REF!="UP",#REF!="DOWN"),VLOOKUP($C167,Configuración!$H$2:$K$11,3),1)</f>
        <v>#REF!</v>
      </c>
      <c r="O167" t="e">
        <f>IF(OR(#REF!="UP",#REF!="DOWN"),VLOOKUP($C167,Configuración!$H$2:$K$11,4),1)</f>
        <v>#REF!</v>
      </c>
      <c r="P167" t="e">
        <f t="shared" si="22"/>
        <v>#REF!</v>
      </c>
      <c r="Q167" t="e">
        <f t="shared" si="23"/>
        <v>#REF!</v>
      </c>
      <c r="R167" t="e">
        <f t="shared" si="31"/>
        <v>#REF!</v>
      </c>
      <c r="T167" t="e">
        <f>IF(R167&lt;&gt;0,Configuración!$E$2,0)</f>
        <v>#REF!</v>
      </c>
      <c r="U167" t="e">
        <f>IF(R167&lt;&gt;0,Configuración!$F$2,0)</f>
        <v>#REF!</v>
      </c>
      <c r="V167" t="e">
        <f>IF(R167&lt;&gt;0,Configuración!$G$2,0)</f>
        <v>#REF!</v>
      </c>
      <c r="W167" t="e">
        <f t="shared" si="24"/>
        <v>#REF!</v>
      </c>
      <c r="X167" t="e">
        <f t="shared" si="25"/>
        <v>#REF!</v>
      </c>
      <c r="Z167" t="e">
        <f t="shared" si="26"/>
        <v>#REF!</v>
      </c>
      <c r="AB167" t="e">
        <f t="shared" si="27"/>
        <v>#REF!</v>
      </c>
      <c r="AG167" t="e">
        <f t="shared" si="28"/>
        <v>#REF!</v>
      </c>
      <c r="AH167" s="5" t="e">
        <f t="shared" si="29"/>
        <v>#REF!</v>
      </c>
      <c r="AI167" t="e">
        <f t="shared" si="30"/>
        <v>#REF!</v>
      </c>
    </row>
    <row r="168" spans="1:35" x14ac:dyDescent="0.55000000000000004">
      <c r="C168" t="s">
        <v>29</v>
      </c>
      <c r="D168" t="e">
        <f>IF(COUNTIF(#REF!,"&lt;&gt;NAN")=0, 0, IF(AND(OR(#REF!=#REF!,#REF!="NAN"), OR(#REF!=#REF!,#REF!="NAN"), OR(#REF!=#REF!,#REF!="NAN")),#REF!, 0))</f>
        <v>#REF!</v>
      </c>
      <c r="E168" t="e">
        <f>IF(#REF!="NAN","",IF(
   AND(OR(#REF!=#REF!,#REF!="NAN"),
     OR(#REF!=#REF!,#REF!="NAN"),
     OR(#REF!=#REF!,#REF!="NAN")),
   1,
   0))</f>
        <v>#REF!</v>
      </c>
      <c r="F168" t="s">
        <v>51</v>
      </c>
      <c r="G168" t="e">
        <f>IF(OR(#REF!="UP",#REF!="DOWN"),1,0)</f>
        <v>#REF!</v>
      </c>
      <c r="H168" t="e">
        <f>IF(OR(#REF!="UP",#REF!="DOWN"),1,0)</f>
        <v>#REF!</v>
      </c>
      <c r="I168" t="e">
        <f>IF(OR(#REF!="UP",#REF!="DOWN"),1,0)</f>
        <v>#REF!</v>
      </c>
      <c r="K168" s="7"/>
      <c r="M168" t="e">
        <f>IF(OR(#REF!="UP",#REF!="DOWN"),0,1)</f>
        <v>#REF!</v>
      </c>
      <c r="N168" t="e">
        <f>IF(OR(#REF!="UP",#REF!="DOWN"),VLOOKUP($C168,Configuración!$H$2:$K$11,3),1)</f>
        <v>#REF!</v>
      </c>
      <c r="O168" t="e">
        <f>IF(OR(#REF!="UP",#REF!="DOWN"),VLOOKUP($C168,Configuración!$H$2:$K$11,4),1)</f>
        <v>#REF!</v>
      </c>
      <c r="P168" t="e">
        <f t="shared" si="22"/>
        <v>#REF!</v>
      </c>
      <c r="Q168" t="e">
        <f t="shared" si="23"/>
        <v>#REF!</v>
      </c>
      <c r="R168" t="e">
        <f t="shared" si="31"/>
        <v>#REF!</v>
      </c>
      <c r="T168" t="e">
        <f>IF(R168&lt;&gt;0,Configuración!$E$2,0)</f>
        <v>#REF!</v>
      </c>
      <c r="U168" t="e">
        <f>IF(R168&lt;&gt;0,Configuración!$F$2,0)</f>
        <v>#REF!</v>
      </c>
      <c r="V168" t="e">
        <f>IF(R168&lt;&gt;0,Configuración!$G$2,0)</f>
        <v>#REF!</v>
      </c>
      <c r="W168" t="e">
        <f t="shared" si="24"/>
        <v>#REF!</v>
      </c>
      <c r="X168" t="e">
        <f t="shared" si="25"/>
        <v>#REF!</v>
      </c>
      <c r="Z168" t="e">
        <f t="shared" si="26"/>
        <v>#REF!</v>
      </c>
      <c r="AB168" t="e">
        <f t="shared" si="27"/>
        <v>#REF!</v>
      </c>
      <c r="AG168" t="e">
        <f t="shared" si="28"/>
        <v>#REF!</v>
      </c>
      <c r="AH168" s="5" t="e">
        <f t="shared" si="29"/>
        <v>#REF!</v>
      </c>
      <c r="AI168" t="e">
        <f t="shared" si="30"/>
        <v>#REF!</v>
      </c>
    </row>
    <row r="169" spans="1:35" x14ac:dyDescent="0.55000000000000004">
      <c r="C169" t="s">
        <v>31</v>
      </c>
      <c r="D169" t="e">
        <f>IF(COUNTIF(#REF!,"&lt;&gt;NAN")=0, 0, IF(AND(OR(#REF!=#REF!,#REF!="NAN"), OR(#REF!=#REF!,#REF!="NAN"), OR(#REF!=#REF!,#REF!="NAN")),#REF!, 0))</f>
        <v>#REF!</v>
      </c>
      <c r="E169" t="e">
        <f>IF(#REF!="NAN","",IF(
   AND(OR(#REF!=#REF!,#REF!="NAN"),
     OR(#REF!=#REF!,#REF!="NAN"),
     OR(#REF!=#REF!,#REF!="NAN")),
   1,
   0))</f>
        <v>#REF!</v>
      </c>
      <c r="F169" t="s">
        <v>51</v>
      </c>
      <c r="G169" t="e">
        <f>IF(OR(#REF!="UP",#REF!="DOWN"),1,0)</f>
        <v>#REF!</v>
      </c>
      <c r="H169" t="e">
        <f>IF(OR(#REF!="UP",#REF!="DOWN"),1,0)</f>
        <v>#REF!</v>
      </c>
      <c r="I169" t="e">
        <f>IF(OR(#REF!="UP",#REF!="DOWN"),1,0)</f>
        <v>#REF!</v>
      </c>
      <c r="K169" s="7"/>
      <c r="M169" t="e">
        <f>IF(OR(#REF!="UP",#REF!="DOWN"),0,1)</f>
        <v>#REF!</v>
      </c>
      <c r="N169" t="e">
        <f>IF(OR(#REF!="UP",#REF!="DOWN"),VLOOKUP($C169,Configuración!$H$2:$K$11,3),1)</f>
        <v>#REF!</v>
      </c>
      <c r="O169" t="e">
        <f>IF(OR(#REF!="UP",#REF!="DOWN"),VLOOKUP($C169,Configuración!$H$2:$K$11,4),1)</f>
        <v>#REF!</v>
      </c>
      <c r="P169" t="e">
        <f t="shared" si="22"/>
        <v>#REF!</v>
      </c>
      <c r="Q169" t="e">
        <f t="shared" si="23"/>
        <v>#REF!</v>
      </c>
      <c r="R169" t="e">
        <f t="shared" si="31"/>
        <v>#REF!</v>
      </c>
      <c r="T169" t="e">
        <f>IF(R169&lt;&gt;0,Configuración!$E$2,0)</f>
        <v>#REF!</v>
      </c>
      <c r="U169" t="e">
        <f>IF(R169&lt;&gt;0,Configuración!$F$2,0)</f>
        <v>#REF!</v>
      </c>
      <c r="V169" t="e">
        <f>IF(R169&lt;&gt;0,Configuración!$G$2,0)</f>
        <v>#REF!</v>
      </c>
      <c r="W169" t="e">
        <f t="shared" si="24"/>
        <v>#REF!</v>
      </c>
      <c r="X169" t="e">
        <f t="shared" si="25"/>
        <v>#REF!</v>
      </c>
      <c r="Z169" t="e">
        <f t="shared" si="26"/>
        <v>#REF!</v>
      </c>
      <c r="AB169" t="e">
        <f t="shared" si="27"/>
        <v>#REF!</v>
      </c>
      <c r="AG169" t="e">
        <f t="shared" si="28"/>
        <v>#REF!</v>
      </c>
      <c r="AH169" s="5" t="e">
        <f t="shared" si="29"/>
        <v>#REF!</v>
      </c>
      <c r="AI169" t="e">
        <f t="shared" si="30"/>
        <v>#REF!</v>
      </c>
    </row>
    <row r="170" spans="1:35" x14ac:dyDescent="0.55000000000000004">
      <c r="A170" s="3">
        <v>45944</v>
      </c>
      <c r="C170" t="s">
        <v>32</v>
      </c>
      <c r="D170" t="e">
        <f>IF(COUNTIF(#REF!,"&lt;&gt;NAN")=0, 0, IF(AND(OR(#REF!=#REF!,#REF!="NAN"), OR(#REF!=#REF!,#REF!="NAN"), OR(#REF!=#REF!,#REF!="NAN")),#REF!, 0))</f>
        <v>#REF!</v>
      </c>
      <c r="E170" t="e">
        <f>IF(#REF!="NAN","",IF(
   AND(OR(#REF!=#REF!,#REF!="NAN"),
     OR(#REF!=#REF!,#REF!="NAN"),
     OR(#REF!=#REF!,#REF!="NAN")),
   1,
   0))</f>
        <v>#REF!</v>
      </c>
      <c r="F170" t="s">
        <v>51</v>
      </c>
      <c r="G170" t="e">
        <f>IF(OR(#REF!="UP",#REF!="DOWN"),1,0)</f>
        <v>#REF!</v>
      </c>
      <c r="H170" t="e">
        <f>IF(OR(#REF!="UP",#REF!="DOWN"),1,0)</f>
        <v>#REF!</v>
      </c>
      <c r="I170" t="e">
        <f>IF(OR(#REF!="UP",#REF!="DOWN"),1,0)</f>
        <v>#REF!</v>
      </c>
      <c r="K170" s="7"/>
      <c r="L170" t="s">
        <v>72</v>
      </c>
      <c r="M170" t="e">
        <f>IF(OR(#REF!="UP",#REF!="DOWN"),0,1)</f>
        <v>#REF!</v>
      </c>
      <c r="N170" t="e">
        <f>IF(OR(#REF!="UP",#REF!="DOWN"),VLOOKUP($C170,Configuración!$H$2:$K$11,3),1)</f>
        <v>#REF!</v>
      </c>
      <c r="O170" t="e">
        <f>IF(OR(#REF!="UP",#REF!="DOWN"),VLOOKUP($C170,Configuración!$H$2:$K$11,4),1)</f>
        <v>#REF!</v>
      </c>
      <c r="P170" t="e">
        <f t="shared" si="22"/>
        <v>#REF!</v>
      </c>
      <c r="Q170" t="e">
        <f t="shared" si="23"/>
        <v>#REF!</v>
      </c>
      <c r="R170" t="e">
        <f t="shared" si="31"/>
        <v>#REF!</v>
      </c>
      <c r="T170" t="e">
        <f>IF(R170&lt;&gt;0,Configuración!$E$2,0)</f>
        <v>#REF!</v>
      </c>
      <c r="U170" t="e">
        <f>IF(R170&lt;&gt;0,Configuración!$F$2,0)</f>
        <v>#REF!</v>
      </c>
      <c r="V170" t="e">
        <f>IF(R170&lt;&gt;0,Configuración!$G$2,0)</f>
        <v>#REF!</v>
      </c>
      <c r="W170" t="e">
        <f t="shared" si="24"/>
        <v>#REF!</v>
      </c>
      <c r="X170" t="e">
        <f t="shared" si="25"/>
        <v>#REF!</v>
      </c>
      <c r="Z170" t="e">
        <f t="shared" si="26"/>
        <v>#REF!</v>
      </c>
      <c r="AB170" t="e">
        <f t="shared" si="27"/>
        <v>#REF!</v>
      </c>
      <c r="AG170" t="e">
        <f t="shared" si="28"/>
        <v>#REF!</v>
      </c>
      <c r="AH170" s="5" t="e">
        <f t="shared" si="29"/>
        <v>#REF!</v>
      </c>
      <c r="AI170" t="e">
        <f t="shared" si="30"/>
        <v>#REF!</v>
      </c>
    </row>
    <row r="171" spans="1:35" x14ac:dyDescent="0.55000000000000004">
      <c r="C171" t="s">
        <v>26</v>
      </c>
      <c r="D171" t="e">
        <f>IF(COUNTIF(#REF!,"&lt;&gt;NAN")=0, 0, IF(AND(OR(#REF!=#REF!,#REF!="NAN"), OR(#REF!=#REF!,#REF!="NAN"), OR(#REF!=#REF!,#REF!="NAN")),#REF!, 0))</f>
        <v>#REF!</v>
      </c>
      <c r="E171" t="e">
        <f>IF(#REF!="NAN","",IF(
   AND(OR(#REF!=#REF!,#REF!="NAN"),
     OR(#REF!=#REF!,#REF!="NAN"),
     OR(#REF!=#REF!,#REF!="NAN")),
   1,
   0))</f>
        <v>#REF!</v>
      </c>
      <c r="F171" t="s">
        <v>51</v>
      </c>
      <c r="G171" t="e">
        <f>IF(OR(#REF!="UP",#REF!="DOWN"),1,0)</f>
        <v>#REF!</v>
      </c>
      <c r="H171" t="e">
        <f>IF(OR(#REF!="UP",#REF!="DOWN"),1,0)</f>
        <v>#REF!</v>
      </c>
      <c r="I171" t="e">
        <f>IF(OR(#REF!="UP",#REF!="DOWN"),1,0)</f>
        <v>#REF!</v>
      </c>
      <c r="K171" s="7"/>
      <c r="M171" t="e">
        <f>IF(OR(#REF!="UP",#REF!="DOWN"),0,1)</f>
        <v>#REF!</v>
      </c>
      <c r="N171" t="e">
        <f>IF(OR(#REF!="UP",#REF!="DOWN"),VLOOKUP($C171,Configuración!$H$2:$K$11,3),1)</f>
        <v>#REF!</v>
      </c>
      <c r="O171" t="e">
        <f>IF(OR(#REF!="UP",#REF!="DOWN"),VLOOKUP($C171,Configuración!$H$2:$K$11,4),1)</f>
        <v>#REF!</v>
      </c>
      <c r="P171" t="e">
        <f t="shared" si="22"/>
        <v>#REF!</v>
      </c>
      <c r="Q171" t="e">
        <f t="shared" si="23"/>
        <v>#REF!</v>
      </c>
      <c r="R171" t="e">
        <f t="shared" si="31"/>
        <v>#REF!</v>
      </c>
      <c r="T171" t="e">
        <f>IF(R171&lt;&gt;0,Configuración!$E$2,0)</f>
        <v>#REF!</v>
      </c>
      <c r="U171" t="e">
        <f>IF(R171&lt;&gt;0,Configuración!$F$2,0)</f>
        <v>#REF!</v>
      </c>
      <c r="V171" t="e">
        <f>IF(R171&lt;&gt;0,Configuración!$G$2,0)</f>
        <v>#REF!</v>
      </c>
      <c r="W171" t="e">
        <f t="shared" si="24"/>
        <v>#REF!</v>
      </c>
      <c r="X171" t="e">
        <f t="shared" si="25"/>
        <v>#REF!</v>
      </c>
      <c r="Z171" t="e">
        <f t="shared" si="26"/>
        <v>#REF!</v>
      </c>
      <c r="AB171" t="e">
        <f t="shared" si="27"/>
        <v>#REF!</v>
      </c>
      <c r="AG171" t="e">
        <f t="shared" si="28"/>
        <v>#REF!</v>
      </c>
      <c r="AH171" s="5" t="e">
        <f t="shared" si="29"/>
        <v>#REF!</v>
      </c>
      <c r="AI171" t="e">
        <f t="shared" si="30"/>
        <v>#REF!</v>
      </c>
    </row>
    <row r="172" spans="1:35" x14ac:dyDescent="0.55000000000000004">
      <c r="C172" t="s">
        <v>33</v>
      </c>
      <c r="D172" t="e">
        <f>IF(COUNTIF(#REF!,"&lt;&gt;NAN")=0, 0, IF(AND(OR(#REF!=#REF!,#REF!="NAN"), OR(#REF!=#REF!,#REF!="NAN"), OR(#REF!=#REF!,#REF!="NAN")),#REF!, 0))</f>
        <v>#REF!</v>
      </c>
      <c r="E172" t="e">
        <f>IF(#REF!="NAN","",IF(
   AND(OR(#REF!=#REF!,#REF!="NAN"),
     OR(#REF!=#REF!,#REF!="NAN"),
     OR(#REF!=#REF!,#REF!="NAN")),
   1,
   0))</f>
        <v>#REF!</v>
      </c>
      <c r="F172" t="s">
        <v>38</v>
      </c>
      <c r="G172" t="e">
        <f>IF(OR(#REF!="UP",#REF!="DOWN"),1,0)</f>
        <v>#REF!</v>
      </c>
      <c r="H172" t="e">
        <f>IF(OR(#REF!="UP",#REF!="DOWN"),1,0)</f>
        <v>#REF!</v>
      </c>
      <c r="I172" t="e">
        <f>IF(OR(#REF!="UP",#REF!="DOWN"),1,0)</f>
        <v>#REF!</v>
      </c>
      <c r="K172" s="7"/>
      <c r="L172" t="s">
        <v>73</v>
      </c>
      <c r="M172" t="e">
        <f>IF(OR(#REF!="UP",#REF!="DOWN"),0,1)</f>
        <v>#REF!</v>
      </c>
      <c r="N172" t="e">
        <f>IF(OR(#REF!="UP",#REF!="DOWN"),VLOOKUP($C172,Configuración!$H$2:$K$11,3),1)</f>
        <v>#REF!</v>
      </c>
      <c r="O172" t="e">
        <f>IF(OR(#REF!="UP",#REF!="DOWN"),VLOOKUP($C172,Configuración!$H$2:$K$11,4),1)</f>
        <v>#REF!</v>
      </c>
      <c r="P172" t="e">
        <f t="shared" si="22"/>
        <v>#REF!</v>
      </c>
      <c r="Q172" t="e">
        <f t="shared" si="23"/>
        <v>#REF!</v>
      </c>
      <c r="R172" t="e">
        <f t="shared" si="31"/>
        <v>#REF!</v>
      </c>
      <c r="T172" t="e">
        <f>IF(R172&lt;&gt;0,Configuración!$E$2,0)</f>
        <v>#REF!</v>
      </c>
      <c r="U172" t="e">
        <f>IF(R172&lt;&gt;0,Configuración!$F$2,0)</f>
        <v>#REF!</v>
      </c>
      <c r="V172" t="e">
        <f>IF(R172&lt;&gt;0,Configuración!$G$2,0)</f>
        <v>#REF!</v>
      </c>
      <c r="W172" t="e">
        <f t="shared" si="24"/>
        <v>#REF!</v>
      </c>
      <c r="X172" t="e">
        <f t="shared" si="25"/>
        <v>#REF!</v>
      </c>
      <c r="Z172" t="e">
        <f t="shared" si="26"/>
        <v>#REF!</v>
      </c>
      <c r="AB172" t="e">
        <f t="shared" si="27"/>
        <v>#REF!</v>
      </c>
      <c r="AG172" t="e">
        <f t="shared" si="28"/>
        <v>#REF!</v>
      </c>
      <c r="AH172" s="5" t="e">
        <f t="shared" si="29"/>
        <v>#REF!</v>
      </c>
      <c r="AI172" t="e">
        <f t="shared" si="30"/>
        <v>#REF!</v>
      </c>
    </row>
    <row r="173" spans="1:35" x14ac:dyDescent="0.55000000000000004">
      <c r="C173" t="s">
        <v>35</v>
      </c>
      <c r="D173" t="e">
        <f>IF(COUNTIF(#REF!,"&lt;&gt;NAN")=0, 0, IF(AND(OR(#REF!=#REF!,#REF!="NAN"), OR(#REF!=#REF!,#REF!="NAN"), OR(#REF!=#REF!,#REF!="NAN")),#REF!, 0))</f>
        <v>#REF!</v>
      </c>
      <c r="E173" t="e">
        <f>IF(#REF!="NAN","",IF(
   AND(OR(#REF!=#REF!,#REF!="NAN"),
     OR(#REF!=#REF!,#REF!="NAN"),
     OR(#REF!=#REF!,#REF!="NAN")),
   1,
   0))</f>
        <v>#REF!</v>
      </c>
      <c r="F173" t="s">
        <v>38</v>
      </c>
      <c r="G173" t="e">
        <f>IF(OR(#REF!="UP",#REF!="DOWN"),1,0)</f>
        <v>#REF!</v>
      </c>
      <c r="H173" t="e">
        <f>IF(OR(#REF!="UP",#REF!="DOWN"),1,0)</f>
        <v>#REF!</v>
      </c>
      <c r="I173" t="e">
        <f>IF(OR(#REF!="UP",#REF!="DOWN"),1,0)</f>
        <v>#REF!</v>
      </c>
      <c r="K173" s="7"/>
      <c r="M173" t="e">
        <f>IF(OR(#REF!="UP",#REF!="DOWN"),0,1)</f>
        <v>#REF!</v>
      </c>
      <c r="N173" t="e">
        <f>IF(OR(#REF!="UP",#REF!="DOWN"),VLOOKUP($C173,Configuración!$H$2:$K$11,3),1)</f>
        <v>#REF!</v>
      </c>
      <c r="O173" t="e">
        <f>IF(OR(#REF!="UP",#REF!="DOWN"),VLOOKUP($C173,Configuración!$H$2:$K$11,4),1)</f>
        <v>#REF!</v>
      </c>
      <c r="P173" t="e">
        <f t="shared" si="22"/>
        <v>#REF!</v>
      </c>
      <c r="Q173" t="e">
        <f t="shared" si="23"/>
        <v>#REF!</v>
      </c>
      <c r="R173" t="e">
        <f t="shared" si="31"/>
        <v>#REF!</v>
      </c>
      <c r="T173" t="e">
        <f>IF(R173&lt;&gt;0,Configuración!$E$2,0)</f>
        <v>#REF!</v>
      </c>
      <c r="U173" t="e">
        <f>IF(R173&lt;&gt;0,Configuración!$F$2,0)</f>
        <v>#REF!</v>
      </c>
      <c r="V173" t="e">
        <f>IF(R173&lt;&gt;0,Configuración!$G$2,0)</f>
        <v>#REF!</v>
      </c>
      <c r="W173" t="e">
        <f t="shared" si="24"/>
        <v>#REF!</v>
      </c>
      <c r="X173" t="e">
        <f t="shared" si="25"/>
        <v>#REF!</v>
      </c>
      <c r="Z173" t="e">
        <f t="shared" si="26"/>
        <v>#REF!</v>
      </c>
      <c r="AB173" t="e">
        <f t="shared" si="27"/>
        <v>#REF!</v>
      </c>
      <c r="AG173" t="e">
        <f t="shared" si="28"/>
        <v>#REF!</v>
      </c>
      <c r="AH173" s="5" t="e">
        <f t="shared" si="29"/>
        <v>#REF!</v>
      </c>
      <c r="AI173" t="e">
        <f t="shared" si="30"/>
        <v>#REF!</v>
      </c>
    </row>
    <row r="174" spans="1:35" x14ac:dyDescent="0.55000000000000004">
      <c r="C174" t="s">
        <v>34</v>
      </c>
      <c r="D174" t="e">
        <f>IF(COUNTIF(#REF!,"&lt;&gt;NAN")=0, 0, IF(AND(OR(#REF!=#REF!,#REF!="NAN"), OR(#REF!=#REF!,#REF!="NAN"), OR(#REF!=#REF!,#REF!="NAN")),#REF!, 0))</f>
        <v>#REF!</v>
      </c>
      <c r="E174" t="e">
        <f>IF(#REF!="NAN","",IF(
   AND(OR(#REF!=#REF!,#REF!="NAN"),
     OR(#REF!=#REF!,#REF!="NAN"),
     OR(#REF!=#REF!,#REF!="NAN")),
   1,
   0))</f>
        <v>#REF!</v>
      </c>
      <c r="F174" t="s">
        <v>51</v>
      </c>
      <c r="G174" t="e">
        <f>IF(OR(#REF!="UP",#REF!="DOWN"),1,0)</f>
        <v>#REF!</v>
      </c>
      <c r="H174" t="e">
        <f>IF(OR(#REF!="UP",#REF!="DOWN"),1,0)</f>
        <v>#REF!</v>
      </c>
      <c r="I174" t="e">
        <f>IF(OR(#REF!="UP",#REF!="DOWN"),1,0)</f>
        <v>#REF!</v>
      </c>
      <c r="K174" s="7"/>
      <c r="L174" t="s">
        <v>74</v>
      </c>
      <c r="M174" t="e">
        <f>IF(OR(#REF!="UP",#REF!="DOWN"),0,1)</f>
        <v>#REF!</v>
      </c>
      <c r="N174" t="e">
        <f>IF(OR(#REF!="UP",#REF!="DOWN"),VLOOKUP($C174,Configuración!$H$2:$K$11,3),1)</f>
        <v>#REF!</v>
      </c>
      <c r="O174" t="e">
        <f>IF(OR(#REF!="UP",#REF!="DOWN"),VLOOKUP($C174,Configuración!$H$2:$K$11,4),1)</f>
        <v>#REF!</v>
      </c>
      <c r="P174" t="e">
        <f t="shared" si="22"/>
        <v>#REF!</v>
      </c>
      <c r="Q174" t="e">
        <f t="shared" si="23"/>
        <v>#REF!</v>
      </c>
      <c r="R174" t="e">
        <f t="shared" si="31"/>
        <v>#REF!</v>
      </c>
      <c r="T174" t="e">
        <f>IF(R174&lt;&gt;0,Configuración!$E$2,0)</f>
        <v>#REF!</v>
      </c>
      <c r="U174" t="e">
        <f>IF(R174&lt;&gt;0,Configuración!$F$2,0)</f>
        <v>#REF!</v>
      </c>
      <c r="V174" t="e">
        <f>IF(R174&lt;&gt;0,Configuración!$G$2,0)</f>
        <v>#REF!</v>
      </c>
      <c r="W174" t="e">
        <f t="shared" si="24"/>
        <v>#REF!</v>
      </c>
      <c r="X174" t="e">
        <f t="shared" si="25"/>
        <v>#REF!</v>
      </c>
      <c r="Z174" t="e">
        <f t="shared" si="26"/>
        <v>#REF!</v>
      </c>
      <c r="AB174" t="e">
        <f t="shared" si="27"/>
        <v>#REF!</v>
      </c>
      <c r="AG174" t="e">
        <f t="shared" si="28"/>
        <v>#REF!</v>
      </c>
      <c r="AH174" s="5" t="e">
        <f t="shared" si="29"/>
        <v>#REF!</v>
      </c>
      <c r="AI174" t="e">
        <f t="shared" si="30"/>
        <v>#REF!</v>
      </c>
    </row>
    <row r="175" spans="1:35" x14ac:dyDescent="0.55000000000000004">
      <c r="C175" t="s">
        <v>27</v>
      </c>
      <c r="D175" t="e">
        <f>IF(COUNTIF(#REF!,"&lt;&gt;NAN")=0, 0, IF(AND(OR(#REF!=#REF!,#REF!="NAN"), OR(#REF!=#REF!,#REF!="NAN"), OR(#REF!=#REF!,#REF!="NAN")),#REF!, 0))</f>
        <v>#REF!</v>
      </c>
      <c r="E175" t="e">
        <f>IF(#REF!="NAN","",IF(
   AND(OR(#REF!=#REF!,#REF!="NAN"),
     OR(#REF!=#REF!,#REF!="NAN"),
     OR(#REF!=#REF!,#REF!="NAN")),
   1,
   0))</f>
        <v>#REF!</v>
      </c>
      <c r="F175" t="s">
        <v>51</v>
      </c>
      <c r="G175" t="e">
        <f>IF(OR(#REF!="UP",#REF!="DOWN"),1,0)</f>
        <v>#REF!</v>
      </c>
      <c r="H175" t="e">
        <f>IF(OR(#REF!="UP",#REF!="DOWN"),1,0)</f>
        <v>#REF!</v>
      </c>
      <c r="I175" t="e">
        <f>IF(OR(#REF!="UP",#REF!="DOWN"),1,0)</f>
        <v>#REF!</v>
      </c>
      <c r="K175" s="7"/>
      <c r="L175" t="s">
        <v>75</v>
      </c>
      <c r="M175" t="e">
        <f>IF(OR(#REF!="UP",#REF!="DOWN"),0,1)</f>
        <v>#REF!</v>
      </c>
      <c r="N175" t="e">
        <f>IF(OR(#REF!="UP",#REF!="DOWN"),VLOOKUP($C175,Configuración!$H$2:$K$11,3),1)</f>
        <v>#REF!</v>
      </c>
      <c r="O175" t="e">
        <f>IF(OR(#REF!="UP",#REF!="DOWN"),VLOOKUP($C175,Configuración!$H$2:$K$11,4),1)</f>
        <v>#REF!</v>
      </c>
      <c r="P175" t="e">
        <f t="shared" si="22"/>
        <v>#REF!</v>
      </c>
      <c r="Q175" t="e">
        <f t="shared" si="23"/>
        <v>#REF!</v>
      </c>
      <c r="R175" t="e">
        <f t="shared" si="31"/>
        <v>#REF!</v>
      </c>
      <c r="T175" t="e">
        <f>IF(R175&lt;&gt;0,Configuración!$E$2,0)</f>
        <v>#REF!</v>
      </c>
      <c r="U175" t="e">
        <f>IF(R175&lt;&gt;0,Configuración!$F$2,0)</f>
        <v>#REF!</v>
      </c>
      <c r="V175" t="e">
        <f>IF(R175&lt;&gt;0,Configuración!$G$2,0)</f>
        <v>#REF!</v>
      </c>
      <c r="W175" t="e">
        <f t="shared" si="24"/>
        <v>#REF!</v>
      </c>
      <c r="X175" t="e">
        <f t="shared" si="25"/>
        <v>#REF!</v>
      </c>
      <c r="Z175" t="e">
        <f t="shared" si="26"/>
        <v>#REF!</v>
      </c>
      <c r="AB175" t="e">
        <f t="shared" si="27"/>
        <v>#REF!</v>
      </c>
      <c r="AG175" t="e">
        <f t="shared" si="28"/>
        <v>#REF!</v>
      </c>
      <c r="AH175" s="5" t="e">
        <f t="shared" si="29"/>
        <v>#REF!</v>
      </c>
      <c r="AI175" t="e">
        <f t="shared" si="30"/>
        <v>#REF!</v>
      </c>
    </row>
    <row r="176" spans="1:35" x14ac:dyDescent="0.55000000000000004">
      <c r="C176" t="s">
        <v>28</v>
      </c>
      <c r="D176" t="e">
        <f>IF(COUNTIF(#REF!,"&lt;&gt;NAN")=0, 0, IF(AND(OR(#REF!=#REF!,#REF!="NAN"), OR(#REF!=#REF!,#REF!="NAN"), OR(#REF!=#REF!,#REF!="NAN")),#REF!, 0))</f>
        <v>#REF!</v>
      </c>
      <c r="E176" t="e">
        <f>IF(#REF!="NAN","",IF(
   AND(OR(#REF!=#REF!,#REF!="NAN"),
     OR(#REF!=#REF!,#REF!="NAN"),
     OR(#REF!=#REF!,#REF!="NAN")),
   1,
   0))</f>
        <v>#REF!</v>
      </c>
      <c r="F176" t="s">
        <v>51</v>
      </c>
      <c r="G176" t="e">
        <f>IF(OR(#REF!="UP",#REF!="DOWN"),1,0)</f>
        <v>#REF!</v>
      </c>
      <c r="H176" t="e">
        <f>IF(OR(#REF!="UP",#REF!="DOWN"),1,0)</f>
        <v>#REF!</v>
      </c>
      <c r="I176" t="e">
        <f>IF(OR(#REF!="UP",#REF!="DOWN"),1,0)</f>
        <v>#REF!</v>
      </c>
      <c r="K176" s="7"/>
      <c r="M176" t="e">
        <f>IF(OR(#REF!="UP",#REF!="DOWN"),0,1)</f>
        <v>#REF!</v>
      </c>
      <c r="N176" t="e">
        <f>IF(OR(#REF!="UP",#REF!="DOWN"),VLOOKUP($C176,Configuración!$H$2:$K$11,3),1)</f>
        <v>#REF!</v>
      </c>
      <c r="O176" t="e">
        <f>IF(OR(#REF!="UP",#REF!="DOWN"),VLOOKUP($C176,Configuración!$H$2:$K$11,4),1)</f>
        <v>#REF!</v>
      </c>
      <c r="P176" t="e">
        <f t="shared" si="22"/>
        <v>#REF!</v>
      </c>
      <c r="Q176" t="e">
        <f t="shared" si="23"/>
        <v>#REF!</v>
      </c>
      <c r="R176" t="e">
        <f t="shared" ref="R176:R239" si="32">IF(AND(OR(D176="UP",D176="DOWN"), Q176&gt;0.9), D176, 0)</f>
        <v>#REF!</v>
      </c>
      <c r="T176" t="e">
        <f>IF(R176&lt;&gt;0,Configuración!$E$2,0)</f>
        <v>#REF!</v>
      </c>
      <c r="U176" t="e">
        <f>IF(R176&lt;&gt;0,Configuración!$F$2,0)</f>
        <v>#REF!</v>
      </c>
      <c r="V176" t="e">
        <f>IF(R176&lt;&gt;0,Configuración!$G$2,0)</f>
        <v>#REF!</v>
      </c>
      <c r="W176" t="e">
        <f t="shared" si="24"/>
        <v>#REF!</v>
      </c>
      <c r="X176" t="e">
        <f t="shared" si="25"/>
        <v>#REF!</v>
      </c>
      <c r="Z176" t="e">
        <f t="shared" si="26"/>
        <v>#REF!</v>
      </c>
      <c r="AB176" t="e">
        <f t="shared" si="27"/>
        <v>#REF!</v>
      </c>
      <c r="AG176" t="e">
        <f t="shared" si="28"/>
        <v>#REF!</v>
      </c>
      <c r="AH176" s="5" t="e">
        <f t="shared" si="29"/>
        <v>#REF!</v>
      </c>
      <c r="AI176" t="e">
        <f t="shared" si="30"/>
        <v>#REF!</v>
      </c>
    </row>
    <row r="177" spans="1:35" x14ac:dyDescent="0.55000000000000004">
      <c r="C177" t="s">
        <v>30</v>
      </c>
      <c r="D177" t="e">
        <f>IF(COUNTIF(#REF!,"&lt;&gt;NAN")=0, 0, IF(AND(OR(#REF!=#REF!,#REF!="NAN"), OR(#REF!=#REF!,#REF!="NAN"), OR(#REF!=#REF!,#REF!="NAN")),#REF!, 0))</f>
        <v>#REF!</v>
      </c>
      <c r="E177" t="e">
        <f>IF(#REF!="NAN","",IF(
   AND(OR(#REF!=#REF!,#REF!="NAN"),
     OR(#REF!=#REF!,#REF!="NAN"),
     OR(#REF!=#REF!,#REF!="NAN")),
   1,
   0))</f>
        <v>#REF!</v>
      </c>
      <c r="F177" t="s">
        <v>37</v>
      </c>
      <c r="G177" t="e">
        <f>IF(OR(#REF!="UP",#REF!="DOWN"),1,0)</f>
        <v>#REF!</v>
      </c>
      <c r="H177" t="e">
        <f>IF(OR(#REF!="UP",#REF!="DOWN"),1,0)</f>
        <v>#REF!</v>
      </c>
      <c r="I177" t="e">
        <f>IF(OR(#REF!="UP",#REF!="DOWN"),1,0)</f>
        <v>#REF!</v>
      </c>
      <c r="K177" s="7"/>
      <c r="L177" s="9" t="s">
        <v>76</v>
      </c>
      <c r="M177" t="e">
        <f>IF(OR(#REF!="UP",#REF!="DOWN"),0,1)</f>
        <v>#REF!</v>
      </c>
      <c r="N177" t="e">
        <f>IF(OR(#REF!="UP",#REF!="DOWN"),VLOOKUP($C177,Configuración!$H$2:$K$11,3),1)</f>
        <v>#REF!</v>
      </c>
      <c r="O177" t="e">
        <f>IF(OR(#REF!="UP",#REF!="DOWN"),VLOOKUP($C177,Configuración!$H$2:$K$11,4),1)</f>
        <v>#REF!</v>
      </c>
      <c r="P177" t="e">
        <f t="shared" si="22"/>
        <v>#REF!</v>
      </c>
      <c r="Q177" t="e">
        <f t="shared" si="23"/>
        <v>#REF!</v>
      </c>
      <c r="R177" t="e">
        <f t="shared" si="32"/>
        <v>#REF!</v>
      </c>
      <c r="T177" t="e">
        <f>IF(R177&lt;&gt;0,Configuración!$E$2,0)</f>
        <v>#REF!</v>
      </c>
      <c r="U177" t="e">
        <f>IF(R177&lt;&gt;0,Configuración!$F$2,0)</f>
        <v>#REF!</v>
      </c>
      <c r="V177" t="e">
        <f>IF(R177&lt;&gt;0,Configuración!$G$2,0)</f>
        <v>#REF!</v>
      </c>
      <c r="W177" t="e">
        <f t="shared" si="24"/>
        <v>#REF!</v>
      </c>
      <c r="X177" t="e">
        <f t="shared" si="25"/>
        <v>#REF!</v>
      </c>
      <c r="Z177" t="e">
        <f t="shared" si="26"/>
        <v>#REF!</v>
      </c>
      <c r="AB177" t="e">
        <f t="shared" si="27"/>
        <v>#REF!</v>
      </c>
      <c r="AG177" t="e">
        <f t="shared" si="28"/>
        <v>#REF!</v>
      </c>
      <c r="AH177" s="5" t="e">
        <f t="shared" si="29"/>
        <v>#REF!</v>
      </c>
      <c r="AI177" t="e">
        <f t="shared" si="30"/>
        <v>#REF!</v>
      </c>
    </row>
    <row r="178" spans="1:35" x14ac:dyDescent="0.55000000000000004">
      <c r="C178" t="s">
        <v>29</v>
      </c>
      <c r="D178" t="e">
        <f>IF(COUNTIF(#REF!,"&lt;&gt;NAN")=0, 0, IF(AND(OR(#REF!=#REF!,#REF!="NAN"), OR(#REF!=#REF!,#REF!="NAN"), OR(#REF!=#REF!,#REF!="NAN")),#REF!, 0))</f>
        <v>#REF!</v>
      </c>
      <c r="E178" t="e">
        <f>IF(#REF!="NAN","",IF(
   AND(OR(#REF!=#REF!,#REF!="NAN"),
     OR(#REF!=#REF!,#REF!="NAN"),
     OR(#REF!=#REF!,#REF!="NAN")),
   1,
   0))</f>
        <v>#REF!</v>
      </c>
      <c r="F178" t="s">
        <v>37</v>
      </c>
      <c r="G178" t="e">
        <f>IF(OR(#REF!="UP",#REF!="DOWN"),1,0)</f>
        <v>#REF!</v>
      </c>
      <c r="H178" t="e">
        <f>IF(OR(#REF!="UP",#REF!="DOWN"),1,0)</f>
        <v>#REF!</v>
      </c>
      <c r="I178" t="e">
        <f>IF(OR(#REF!="UP",#REF!="DOWN"),1,0)</f>
        <v>#REF!</v>
      </c>
      <c r="K178" s="7"/>
      <c r="L178" t="s">
        <v>77</v>
      </c>
      <c r="M178" t="e">
        <f>IF(OR(#REF!="UP",#REF!="DOWN"),0,1)</f>
        <v>#REF!</v>
      </c>
      <c r="N178" t="e">
        <f>IF(OR(#REF!="UP",#REF!="DOWN"),VLOOKUP($C178,Configuración!$H$2:$K$11,3),1)</f>
        <v>#REF!</v>
      </c>
      <c r="O178" t="e">
        <f>IF(OR(#REF!="UP",#REF!="DOWN"),VLOOKUP($C178,Configuración!$H$2:$K$11,4),1)</f>
        <v>#REF!</v>
      </c>
      <c r="P178" t="e">
        <f t="shared" si="22"/>
        <v>#REF!</v>
      </c>
      <c r="Q178" t="e">
        <f t="shared" si="23"/>
        <v>#REF!</v>
      </c>
      <c r="R178" t="e">
        <f t="shared" si="32"/>
        <v>#REF!</v>
      </c>
      <c r="T178" t="e">
        <f>IF(R178&lt;&gt;0,Configuración!$E$2,0)</f>
        <v>#REF!</v>
      </c>
      <c r="U178" t="e">
        <f>IF(R178&lt;&gt;0,Configuración!$F$2,0)</f>
        <v>#REF!</v>
      </c>
      <c r="V178" t="e">
        <f>IF(R178&lt;&gt;0,Configuración!$G$2,0)</f>
        <v>#REF!</v>
      </c>
      <c r="W178" t="e">
        <f t="shared" si="24"/>
        <v>#REF!</v>
      </c>
      <c r="X178" t="e">
        <f t="shared" si="25"/>
        <v>#REF!</v>
      </c>
      <c r="Z178" t="e">
        <f t="shared" si="26"/>
        <v>#REF!</v>
      </c>
      <c r="AB178" t="e">
        <f t="shared" si="27"/>
        <v>#REF!</v>
      </c>
      <c r="AG178" t="e">
        <f t="shared" si="28"/>
        <v>#REF!</v>
      </c>
      <c r="AH178" s="5" t="e">
        <f t="shared" si="29"/>
        <v>#REF!</v>
      </c>
      <c r="AI178" t="e">
        <f t="shared" si="30"/>
        <v>#REF!</v>
      </c>
    </row>
    <row r="179" spans="1:35" x14ac:dyDescent="0.55000000000000004">
      <c r="C179" t="s">
        <v>31</v>
      </c>
      <c r="D179" t="e">
        <f>IF(COUNTIF(#REF!,"&lt;&gt;NAN")=0, 0, IF(AND(OR(#REF!=#REF!,#REF!="NAN"), OR(#REF!=#REF!,#REF!="NAN"), OR(#REF!=#REF!,#REF!="NAN")),#REF!, 0))</f>
        <v>#REF!</v>
      </c>
      <c r="E179" t="e">
        <f>IF(#REF!="NAN","",IF(
   AND(OR(#REF!=#REF!,#REF!="NAN"),
     OR(#REF!=#REF!,#REF!="NAN"),
     OR(#REF!=#REF!,#REF!="NAN")),
   1,
   0))</f>
        <v>#REF!</v>
      </c>
      <c r="F179" t="s">
        <v>38</v>
      </c>
      <c r="G179" t="e">
        <f>IF(OR(#REF!="UP",#REF!="DOWN"),1,0)</f>
        <v>#REF!</v>
      </c>
      <c r="H179" t="e">
        <f>IF(OR(#REF!="UP",#REF!="DOWN"),1,0)</f>
        <v>#REF!</v>
      </c>
      <c r="I179" t="e">
        <f>IF(OR(#REF!="UP",#REF!="DOWN"),1,0)</f>
        <v>#REF!</v>
      </c>
      <c r="K179" s="7"/>
      <c r="M179" t="e">
        <f>IF(OR(#REF!="UP",#REF!="DOWN"),0,1)</f>
        <v>#REF!</v>
      </c>
      <c r="N179" t="e">
        <f>IF(OR(#REF!="UP",#REF!="DOWN"),VLOOKUP($C179,Configuración!$H$2:$K$11,3),1)</f>
        <v>#REF!</v>
      </c>
      <c r="O179" t="e">
        <f>IF(OR(#REF!="UP",#REF!="DOWN"),VLOOKUP($C179,Configuración!$H$2:$K$11,4),1)</f>
        <v>#REF!</v>
      </c>
      <c r="P179" t="e">
        <f t="shared" si="22"/>
        <v>#REF!</v>
      </c>
      <c r="Q179" t="e">
        <f t="shared" si="23"/>
        <v>#REF!</v>
      </c>
      <c r="R179" t="e">
        <f t="shared" si="32"/>
        <v>#REF!</v>
      </c>
      <c r="T179" t="e">
        <f>IF(R179&lt;&gt;0,Configuración!$E$2,0)</f>
        <v>#REF!</v>
      </c>
      <c r="U179" t="e">
        <f>IF(R179&lt;&gt;0,Configuración!$F$2,0)</f>
        <v>#REF!</v>
      </c>
      <c r="V179" t="e">
        <f>IF(R179&lt;&gt;0,Configuración!$G$2,0)</f>
        <v>#REF!</v>
      </c>
      <c r="W179" t="e">
        <f t="shared" si="24"/>
        <v>#REF!</v>
      </c>
      <c r="X179" t="e">
        <f t="shared" si="25"/>
        <v>#REF!</v>
      </c>
      <c r="Z179" t="e">
        <f t="shared" si="26"/>
        <v>#REF!</v>
      </c>
      <c r="AB179" t="e">
        <f t="shared" si="27"/>
        <v>#REF!</v>
      </c>
      <c r="AG179" t="e">
        <f t="shared" si="28"/>
        <v>#REF!</v>
      </c>
      <c r="AH179" s="5" t="e">
        <f t="shared" si="29"/>
        <v>#REF!</v>
      </c>
      <c r="AI179" t="e">
        <f t="shared" si="30"/>
        <v>#REF!</v>
      </c>
    </row>
    <row r="180" spans="1:35" x14ac:dyDescent="0.55000000000000004">
      <c r="A180" s="3">
        <v>45945</v>
      </c>
      <c r="C180" t="s">
        <v>32</v>
      </c>
      <c r="D180" t="e">
        <f>IF(COUNTIF(#REF!,"&lt;&gt;NAN")=0, 0, IF(AND(OR(#REF!=#REF!,#REF!="NAN"), OR(#REF!=#REF!,#REF!="NAN"), OR(#REF!=#REF!,#REF!="NAN")),#REF!, 0))</f>
        <v>#REF!</v>
      </c>
      <c r="E180" t="e">
        <f>IF(#REF!="NAN","",IF(
   AND(OR(#REF!=#REF!,#REF!="NAN"),
     OR(#REF!=#REF!,#REF!="NAN"),
     OR(#REF!=#REF!,#REF!="NAN")),
   1,
   0))</f>
        <v>#REF!</v>
      </c>
      <c r="F180" t="s">
        <v>37</v>
      </c>
      <c r="G180" t="e">
        <f>IF(OR(#REF!="UP",#REF!="DOWN"),1,0)</f>
        <v>#REF!</v>
      </c>
      <c r="H180" t="e">
        <f>IF(OR(#REF!="UP",#REF!="DOWN"),1,0)</f>
        <v>#REF!</v>
      </c>
      <c r="I180" t="e">
        <f>IF(OR(#REF!="UP",#REF!="DOWN"),1,0)</f>
        <v>#REF!</v>
      </c>
      <c r="K180" s="7"/>
      <c r="M180" t="e">
        <f>IF(OR(#REF!="UP",#REF!="DOWN"),0,1)</f>
        <v>#REF!</v>
      </c>
      <c r="N180" t="e">
        <f>IF(OR(#REF!="UP",#REF!="DOWN"),VLOOKUP($C180,Configuración!$H$2:$K$11,3),1)</f>
        <v>#REF!</v>
      </c>
      <c r="O180" t="e">
        <f>IF(OR(#REF!="UP",#REF!="DOWN"),VLOOKUP($C180,Configuración!$H$2:$K$11,4),1)</f>
        <v>#REF!</v>
      </c>
      <c r="P180" t="e">
        <f t="shared" si="22"/>
        <v>#REF!</v>
      </c>
      <c r="Q180" t="e">
        <f t="shared" si="23"/>
        <v>#REF!</v>
      </c>
      <c r="R180" t="e">
        <f t="shared" si="32"/>
        <v>#REF!</v>
      </c>
      <c r="T180" t="e">
        <f>IF(R180&lt;&gt;0,Configuración!$E$2,0)</f>
        <v>#REF!</v>
      </c>
      <c r="U180" t="e">
        <f>IF(R180&lt;&gt;0,Configuración!$F$2,0)</f>
        <v>#REF!</v>
      </c>
      <c r="V180" t="e">
        <f>IF(R180&lt;&gt;0,Configuración!$G$2,0)</f>
        <v>#REF!</v>
      </c>
      <c r="W180" t="e">
        <f t="shared" si="24"/>
        <v>#REF!</v>
      </c>
      <c r="X180" t="e">
        <f t="shared" si="25"/>
        <v>#REF!</v>
      </c>
      <c r="Z180" t="e">
        <f t="shared" si="26"/>
        <v>#REF!</v>
      </c>
      <c r="AB180" t="e">
        <f t="shared" si="27"/>
        <v>#REF!</v>
      </c>
      <c r="AG180" t="e">
        <f t="shared" si="28"/>
        <v>#REF!</v>
      </c>
      <c r="AH180" s="5" t="e">
        <f t="shared" si="29"/>
        <v>#REF!</v>
      </c>
      <c r="AI180" t="e">
        <f t="shared" si="30"/>
        <v>#REF!</v>
      </c>
    </row>
    <row r="181" spans="1:35" x14ac:dyDescent="0.55000000000000004">
      <c r="C181" t="s">
        <v>26</v>
      </c>
      <c r="D181" t="e">
        <f>IF(COUNTIF(#REF!,"&lt;&gt;NAN")=0, 0, IF(AND(OR(#REF!=#REF!,#REF!="NAN"), OR(#REF!=#REF!,#REF!="NAN"), OR(#REF!=#REF!,#REF!="NAN")),#REF!, 0))</f>
        <v>#REF!</v>
      </c>
      <c r="E181" t="e">
        <f>IF(#REF!="NAN","",IF(
   AND(OR(#REF!=#REF!,#REF!="NAN"),
     OR(#REF!=#REF!,#REF!="NAN"),
     OR(#REF!=#REF!,#REF!="NAN")),
   1,
   0))</f>
        <v>#REF!</v>
      </c>
      <c r="F181" t="s">
        <v>37</v>
      </c>
      <c r="G181" t="e">
        <f>IF(OR(#REF!="UP",#REF!="DOWN"),1,0)</f>
        <v>#REF!</v>
      </c>
      <c r="H181" t="e">
        <f>IF(OR(#REF!="UP",#REF!="DOWN"),1,0)</f>
        <v>#REF!</v>
      </c>
      <c r="I181" t="e">
        <f>IF(OR(#REF!="UP",#REF!="DOWN"),1,0)</f>
        <v>#REF!</v>
      </c>
      <c r="K181" s="7"/>
      <c r="M181" t="e">
        <f>IF(OR(#REF!="UP",#REF!="DOWN"),0,1)</f>
        <v>#REF!</v>
      </c>
      <c r="N181" t="e">
        <f>IF(OR(#REF!="UP",#REF!="DOWN"),VLOOKUP($C181,Configuración!$H$2:$K$11,3),1)</f>
        <v>#REF!</v>
      </c>
      <c r="O181" t="e">
        <f>IF(OR(#REF!="UP",#REF!="DOWN"),VLOOKUP($C181,Configuración!$H$2:$K$11,4),1)</f>
        <v>#REF!</v>
      </c>
      <c r="P181" t="e">
        <f t="shared" si="22"/>
        <v>#REF!</v>
      </c>
      <c r="Q181" t="e">
        <f t="shared" si="23"/>
        <v>#REF!</v>
      </c>
      <c r="R181" t="e">
        <f t="shared" si="32"/>
        <v>#REF!</v>
      </c>
      <c r="T181" t="e">
        <f>IF(R181&lt;&gt;0,Configuración!$E$2,0)</f>
        <v>#REF!</v>
      </c>
      <c r="U181" t="e">
        <f>IF(R181&lt;&gt;0,Configuración!$F$2,0)</f>
        <v>#REF!</v>
      </c>
      <c r="V181" t="e">
        <f>IF(R181&lt;&gt;0,Configuración!$G$2,0)</f>
        <v>#REF!</v>
      </c>
      <c r="W181" t="e">
        <f t="shared" si="24"/>
        <v>#REF!</v>
      </c>
      <c r="X181" t="e">
        <f t="shared" si="25"/>
        <v>#REF!</v>
      </c>
      <c r="Z181" t="e">
        <f t="shared" si="26"/>
        <v>#REF!</v>
      </c>
      <c r="AB181" t="e">
        <f t="shared" si="27"/>
        <v>#REF!</v>
      </c>
      <c r="AG181" t="e">
        <f t="shared" si="28"/>
        <v>#REF!</v>
      </c>
      <c r="AH181" s="5" t="e">
        <f t="shared" si="29"/>
        <v>#REF!</v>
      </c>
      <c r="AI181" t="e">
        <f t="shared" si="30"/>
        <v>#REF!</v>
      </c>
    </row>
    <row r="182" spans="1:35" x14ac:dyDescent="0.55000000000000004">
      <c r="C182" t="s">
        <v>33</v>
      </c>
      <c r="D182" t="e">
        <f>IF(COUNTIF(#REF!,"&lt;&gt;NAN")=0, 0, IF(AND(OR(#REF!=#REF!,#REF!="NAN"), OR(#REF!=#REF!,#REF!="NAN"), OR(#REF!=#REF!,#REF!="NAN")),#REF!, 0))</f>
        <v>#REF!</v>
      </c>
      <c r="E182" t="e">
        <f>IF(#REF!="NAN","",IF(
   AND(OR(#REF!=#REF!,#REF!="NAN"),
     OR(#REF!=#REF!,#REF!="NAN"),
     OR(#REF!=#REF!,#REF!="NAN")),
   1,
   0))</f>
        <v>#REF!</v>
      </c>
      <c r="F182" t="s">
        <v>51</v>
      </c>
      <c r="G182" t="e">
        <f>IF(OR(#REF!="UP",#REF!="DOWN"),1,0)</f>
        <v>#REF!</v>
      </c>
      <c r="H182" t="e">
        <f>IF(OR(#REF!="UP",#REF!="DOWN"),1,0)</f>
        <v>#REF!</v>
      </c>
      <c r="I182" t="e">
        <f>IF(OR(#REF!="UP",#REF!="DOWN"),1,0)</f>
        <v>#REF!</v>
      </c>
      <c r="K182" s="7"/>
      <c r="M182" t="e">
        <f>IF(OR(#REF!="UP",#REF!="DOWN"),0,1)</f>
        <v>#REF!</v>
      </c>
      <c r="N182" t="e">
        <f>IF(OR(#REF!="UP",#REF!="DOWN"),VLOOKUP($C182,Configuración!$H$2:$K$11,3),1)</f>
        <v>#REF!</v>
      </c>
      <c r="O182" t="e">
        <f>IF(OR(#REF!="UP",#REF!="DOWN"),VLOOKUP($C182,Configuración!$H$2:$K$11,4),1)</f>
        <v>#REF!</v>
      </c>
      <c r="P182" t="e">
        <f t="shared" si="22"/>
        <v>#REF!</v>
      </c>
      <c r="Q182" t="e">
        <f t="shared" si="23"/>
        <v>#REF!</v>
      </c>
      <c r="R182" t="e">
        <f t="shared" si="32"/>
        <v>#REF!</v>
      </c>
      <c r="T182" t="e">
        <f>IF(R182&lt;&gt;0,Configuración!$E$2,0)</f>
        <v>#REF!</v>
      </c>
      <c r="U182" t="e">
        <f>IF(R182&lt;&gt;0,Configuración!$F$2,0)</f>
        <v>#REF!</v>
      </c>
      <c r="V182" t="e">
        <f>IF(R182&lt;&gt;0,Configuración!$G$2,0)</f>
        <v>#REF!</v>
      </c>
      <c r="W182" t="e">
        <f t="shared" si="24"/>
        <v>#REF!</v>
      </c>
      <c r="X182" t="e">
        <f t="shared" si="25"/>
        <v>#REF!</v>
      </c>
      <c r="Z182" t="e">
        <f t="shared" si="26"/>
        <v>#REF!</v>
      </c>
      <c r="AB182" t="e">
        <f t="shared" si="27"/>
        <v>#REF!</v>
      </c>
      <c r="AG182" t="e">
        <f t="shared" si="28"/>
        <v>#REF!</v>
      </c>
      <c r="AH182" s="5" t="e">
        <f t="shared" si="29"/>
        <v>#REF!</v>
      </c>
      <c r="AI182" t="e">
        <f t="shared" si="30"/>
        <v>#REF!</v>
      </c>
    </row>
    <row r="183" spans="1:35" x14ac:dyDescent="0.55000000000000004">
      <c r="C183" t="s">
        <v>35</v>
      </c>
      <c r="D183" t="e">
        <f>IF(COUNTIF(#REF!,"&lt;&gt;NAN")=0, 0, IF(AND(OR(#REF!=#REF!,#REF!="NAN"), OR(#REF!=#REF!,#REF!="NAN"), OR(#REF!=#REF!,#REF!="NAN")),#REF!, 0))</f>
        <v>#REF!</v>
      </c>
      <c r="E183" t="e">
        <f>IF(#REF!="NAN","",IF(
   AND(OR(#REF!=#REF!,#REF!="NAN"),
     OR(#REF!=#REF!,#REF!="NAN"),
     OR(#REF!=#REF!,#REF!="NAN")),
   1,
   0))</f>
        <v>#REF!</v>
      </c>
      <c r="F183" t="s">
        <v>38</v>
      </c>
      <c r="G183" t="e">
        <f>IF(OR(#REF!="UP",#REF!="DOWN"),1,0)</f>
        <v>#REF!</v>
      </c>
      <c r="H183" t="e">
        <f>IF(OR(#REF!="UP",#REF!="DOWN"),1,0)</f>
        <v>#REF!</v>
      </c>
      <c r="I183" t="e">
        <f>IF(OR(#REF!="UP",#REF!="DOWN"),1,0)</f>
        <v>#REF!</v>
      </c>
      <c r="K183" s="7"/>
      <c r="M183" t="e">
        <f>IF(OR(#REF!="UP",#REF!="DOWN"),0,1)</f>
        <v>#REF!</v>
      </c>
      <c r="N183" t="e">
        <f>IF(OR(#REF!="UP",#REF!="DOWN"),VLOOKUP($C183,Configuración!$H$2:$K$11,3),1)</f>
        <v>#REF!</v>
      </c>
      <c r="O183" t="e">
        <f>IF(OR(#REF!="UP",#REF!="DOWN"),VLOOKUP($C183,Configuración!$H$2:$K$11,4),1)</f>
        <v>#REF!</v>
      </c>
      <c r="P183" t="e">
        <f t="shared" si="22"/>
        <v>#REF!</v>
      </c>
      <c r="Q183" t="e">
        <f t="shared" si="23"/>
        <v>#REF!</v>
      </c>
      <c r="R183" t="e">
        <f t="shared" si="32"/>
        <v>#REF!</v>
      </c>
      <c r="T183" t="e">
        <f>IF(R183&lt;&gt;0,Configuración!$E$2,0)</f>
        <v>#REF!</v>
      </c>
      <c r="U183" t="e">
        <f>IF(R183&lt;&gt;0,Configuración!$F$2,0)</f>
        <v>#REF!</v>
      </c>
      <c r="V183" t="e">
        <f>IF(R183&lt;&gt;0,Configuración!$G$2,0)</f>
        <v>#REF!</v>
      </c>
      <c r="W183" t="e">
        <f t="shared" si="24"/>
        <v>#REF!</v>
      </c>
      <c r="X183" t="e">
        <f t="shared" si="25"/>
        <v>#REF!</v>
      </c>
      <c r="Z183" t="e">
        <f t="shared" si="26"/>
        <v>#REF!</v>
      </c>
      <c r="AB183" t="e">
        <f t="shared" si="27"/>
        <v>#REF!</v>
      </c>
      <c r="AG183" t="e">
        <f t="shared" si="28"/>
        <v>#REF!</v>
      </c>
      <c r="AH183" s="5" t="e">
        <f t="shared" si="29"/>
        <v>#REF!</v>
      </c>
      <c r="AI183" t="e">
        <f t="shared" si="30"/>
        <v>#REF!</v>
      </c>
    </row>
    <row r="184" spans="1:35" x14ac:dyDescent="0.55000000000000004">
      <c r="C184" t="s">
        <v>34</v>
      </c>
      <c r="D184" t="e">
        <f>IF(COUNTIF(#REF!,"&lt;&gt;NAN")=0, 0, IF(AND(OR(#REF!=#REF!,#REF!="NAN"), OR(#REF!=#REF!,#REF!="NAN"), OR(#REF!=#REF!,#REF!="NAN")),#REF!, 0))</f>
        <v>#REF!</v>
      </c>
      <c r="E184" t="e">
        <f>IF(#REF!="NAN","",IF(
   AND(OR(#REF!=#REF!,#REF!="NAN"),
     OR(#REF!=#REF!,#REF!="NAN"),
     OR(#REF!=#REF!,#REF!="NAN")),
   1,
   0))</f>
        <v>#REF!</v>
      </c>
      <c r="F184" t="s">
        <v>51</v>
      </c>
      <c r="G184" t="e">
        <f>IF(OR(#REF!="UP",#REF!="DOWN"),1,0)</f>
        <v>#REF!</v>
      </c>
      <c r="H184" t="e">
        <f>IF(OR(#REF!="UP",#REF!="DOWN"),1,0)</f>
        <v>#REF!</v>
      </c>
      <c r="I184" t="e">
        <f>IF(OR(#REF!="UP",#REF!="DOWN"),1,0)</f>
        <v>#REF!</v>
      </c>
      <c r="K184" s="7"/>
      <c r="M184" t="e">
        <f>IF(OR(#REF!="UP",#REF!="DOWN"),0,1)</f>
        <v>#REF!</v>
      </c>
      <c r="N184" t="e">
        <f>IF(OR(#REF!="UP",#REF!="DOWN"),VLOOKUP($C184,Configuración!$H$2:$K$11,3),1)</f>
        <v>#REF!</v>
      </c>
      <c r="O184" t="e">
        <f>IF(OR(#REF!="UP",#REF!="DOWN"),VLOOKUP($C184,Configuración!$H$2:$K$11,4),1)</f>
        <v>#REF!</v>
      </c>
      <c r="P184" t="e">
        <f t="shared" si="22"/>
        <v>#REF!</v>
      </c>
      <c r="Q184" t="e">
        <f t="shared" si="23"/>
        <v>#REF!</v>
      </c>
      <c r="R184" t="e">
        <f t="shared" si="32"/>
        <v>#REF!</v>
      </c>
      <c r="T184" t="e">
        <f>IF(R184&lt;&gt;0,Configuración!$E$2,0)</f>
        <v>#REF!</v>
      </c>
      <c r="U184" t="e">
        <f>IF(R184&lt;&gt;0,Configuración!$F$2,0)</f>
        <v>#REF!</v>
      </c>
      <c r="V184" t="e">
        <f>IF(R184&lt;&gt;0,Configuración!$G$2,0)</f>
        <v>#REF!</v>
      </c>
      <c r="W184" t="e">
        <f t="shared" si="24"/>
        <v>#REF!</v>
      </c>
      <c r="X184" t="e">
        <f t="shared" si="25"/>
        <v>#REF!</v>
      </c>
      <c r="Z184" t="e">
        <f t="shared" si="26"/>
        <v>#REF!</v>
      </c>
      <c r="AB184" t="e">
        <f t="shared" si="27"/>
        <v>#REF!</v>
      </c>
      <c r="AG184" t="e">
        <f t="shared" si="28"/>
        <v>#REF!</v>
      </c>
      <c r="AH184" s="5" t="e">
        <f t="shared" si="29"/>
        <v>#REF!</v>
      </c>
      <c r="AI184" t="e">
        <f t="shared" si="30"/>
        <v>#REF!</v>
      </c>
    </row>
    <row r="185" spans="1:35" x14ac:dyDescent="0.55000000000000004">
      <c r="C185" t="s">
        <v>27</v>
      </c>
      <c r="D185" t="e">
        <f>IF(COUNTIF(#REF!,"&lt;&gt;NAN")=0, 0, IF(AND(OR(#REF!=#REF!,#REF!="NAN"), OR(#REF!=#REF!,#REF!="NAN"), OR(#REF!=#REF!,#REF!="NAN")),#REF!, 0))</f>
        <v>#REF!</v>
      </c>
      <c r="E185" t="e">
        <f>IF(#REF!="NAN","",IF(
   AND(OR(#REF!=#REF!,#REF!="NAN"),
     OR(#REF!=#REF!,#REF!="NAN"),
     OR(#REF!=#REF!,#REF!="NAN")),
   1,
   0))</f>
        <v>#REF!</v>
      </c>
      <c r="F185" t="s">
        <v>37</v>
      </c>
      <c r="G185" t="e">
        <f>IF(OR(#REF!="UP",#REF!="DOWN"),1,0)</f>
        <v>#REF!</v>
      </c>
      <c r="H185" t="e">
        <f>IF(OR(#REF!="UP",#REF!="DOWN"),1,0)</f>
        <v>#REF!</v>
      </c>
      <c r="I185" t="e">
        <f>IF(OR(#REF!="UP",#REF!="DOWN"),1,0)</f>
        <v>#REF!</v>
      </c>
      <c r="K185" s="8"/>
      <c r="M185" t="e">
        <f>IF(OR(#REF!="UP",#REF!="DOWN"),0,1)</f>
        <v>#REF!</v>
      </c>
      <c r="N185" t="e">
        <f>IF(OR(#REF!="UP",#REF!="DOWN"),VLOOKUP($C185,Configuración!$H$2:$K$11,3),1)</f>
        <v>#REF!</v>
      </c>
      <c r="O185" t="e">
        <f>IF(OR(#REF!="UP",#REF!="DOWN"),VLOOKUP($C185,Configuración!$H$2:$K$11,4),1)</f>
        <v>#REF!</v>
      </c>
      <c r="P185" t="e">
        <f t="shared" si="22"/>
        <v>#REF!</v>
      </c>
      <c r="Q185" t="e">
        <f t="shared" si="23"/>
        <v>#REF!</v>
      </c>
      <c r="R185" t="e">
        <f t="shared" si="32"/>
        <v>#REF!</v>
      </c>
      <c r="T185" t="e">
        <f>IF(R185&lt;&gt;0,Configuración!$E$2,0)</f>
        <v>#REF!</v>
      </c>
      <c r="U185" t="e">
        <f>IF(R185&lt;&gt;0,Configuración!$F$2,0)</f>
        <v>#REF!</v>
      </c>
      <c r="V185" t="e">
        <f>IF(R185&lt;&gt;0,Configuración!$G$2,0)</f>
        <v>#REF!</v>
      </c>
      <c r="W185" t="e">
        <f t="shared" si="24"/>
        <v>#REF!</v>
      </c>
      <c r="X185" t="e">
        <f t="shared" si="25"/>
        <v>#REF!</v>
      </c>
      <c r="Z185" t="e">
        <f t="shared" si="26"/>
        <v>#REF!</v>
      </c>
      <c r="AB185" t="e">
        <f t="shared" si="27"/>
        <v>#REF!</v>
      </c>
      <c r="AG185" t="e">
        <f t="shared" si="28"/>
        <v>#REF!</v>
      </c>
      <c r="AH185" s="5" t="e">
        <f t="shared" si="29"/>
        <v>#REF!</v>
      </c>
      <c r="AI185" t="e">
        <f t="shared" si="30"/>
        <v>#REF!</v>
      </c>
    </row>
    <row r="186" spans="1:35" x14ac:dyDescent="0.55000000000000004">
      <c r="C186" t="s">
        <v>28</v>
      </c>
      <c r="D186" t="e">
        <f>IF(COUNTIF(#REF!,"&lt;&gt;NAN")=0, 0, IF(AND(OR(#REF!=#REF!,#REF!="NAN"), OR(#REF!=#REF!,#REF!="NAN"), OR(#REF!=#REF!,#REF!="NAN")),#REF!, 0))</f>
        <v>#REF!</v>
      </c>
      <c r="E186" t="e">
        <f>IF(#REF!="NAN","",IF(
   AND(OR(#REF!=#REF!,#REF!="NAN"),
     OR(#REF!=#REF!,#REF!="NAN"),
     OR(#REF!=#REF!,#REF!="NAN")),
   1,
   0))</f>
        <v>#REF!</v>
      </c>
      <c r="F186" t="s">
        <v>37</v>
      </c>
      <c r="G186" t="e">
        <f>IF(OR(#REF!="UP",#REF!="DOWN"),1,0)</f>
        <v>#REF!</v>
      </c>
      <c r="H186" t="e">
        <f>IF(OR(#REF!="UP",#REF!="DOWN"),1,0)</f>
        <v>#REF!</v>
      </c>
      <c r="I186" t="e">
        <f>IF(OR(#REF!="UP",#REF!="DOWN"),1,0)</f>
        <v>#REF!</v>
      </c>
      <c r="K186" s="8"/>
      <c r="M186" t="e">
        <f>IF(OR(#REF!="UP",#REF!="DOWN"),0,1)</f>
        <v>#REF!</v>
      </c>
      <c r="N186" t="e">
        <f>IF(OR(#REF!="UP",#REF!="DOWN"),VLOOKUP($C186,Configuración!$H$2:$K$11,3),1)</f>
        <v>#REF!</v>
      </c>
      <c r="O186" t="e">
        <f>IF(OR(#REF!="UP",#REF!="DOWN"),VLOOKUP($C186,Configuración!$H$2:$K$11,4),1)</f>
        <v>#REF!</v>
      </c>
      <c r="P186" t="e">
        <f t="shared" si="22"/>
        <v>#REF!</v>
      </c>
      <c r="Q186" t="e">
        <f t="shared" si="23"/>
        <v>#REF!</v>
      </c>
      <c r="R186" t="e">
        <f t="shared" si="32"/>
        <v>#REF!</v>
      </c>
      <c r="T186" t="e">
        <f>IF(R186&lt;&gt;0,Configuración!$E$2,0)</f>
        <v>#REF!</v>
      </c>
      <c r="U186" t="e">
        <f>IF(R186&lt;&gt;0,Configuración!$F$2,0)</f>
        <v>#REF!</v>
      </c>
      <c r="V186" t="e">
        <f>IF(R186&lt;&gt;0,Configuración!$G$2,0)</f>
        <v>#REF!</v>
      </c>
      <c r="W186" t="e">
        <f t="shared" si="24"/>
        <v>#REF!</v>
      </c>
      <c r="X186" t="e">
        <f t="shared" si="25"/>
        <v>#REF!</v>
      </c>
      <c r="Z186" t="e">
        <f t="shared" si="26"/>
        <v>#REF!</v>
      </c>
      <c r="AB186" t="e">
        <f t="shared" si="27"/>
        <v>#REF!</v>
      </c>
      <c r="AG186" t="e">
        <f t="shared" si="28"/>
        <v>#REF!</v>
      </c>
      <c r="AH186" s="5" t="e">
        <f t="shared" si="29"/>
        <v>#REF!</v>
      </c>
      <c r="AI186" t="e">
        <f t="shared" si="30"/>
        <v>#REF!</v>
      </c>
    </row>
    <row r="187" spans="1:35" x14ac:dyDescent="0.55000000000000004">
      <c r="C187" t="s">
        <v>30</v>
      </c>
      <c r="D187" t="e">
        <f>IF(COUNTIF(#REF!,"&lt;&gt;NAN")=0, 0, IF(AND(OR(#REF!=#REF!,#REF!="NAN"), OR(#REF!=#REF!,#REF!="NAN"), OR(#REF!=#REF!,#REF!="NAN")),#REF!, 0))</f>
        <v>#REF!</v>
      </c>
      <c r="E187" t="e">
        <f>IF(#REF!="NAN","",IF(
   AND(OR(#REF!=#REF!,#REF!="NAN"),
     OR(#REF!=#REF!,#REF!="NAN"),
     OR(#REF!=#REF!,#REF!="NAN")),
   1,
   0))</f>
        <v>#REF!</v>
      </c>
      <c r="F187" t="s">
        <v>51</v>
      </c>
      <c r="G187" t="e">
        <f>IF(OR(#REF!="UP",#REF!="DOWN"),1,0)</f>
        <v>#REF!</v>
      </c>
      <c r="H187" t="e">
        <f>IF(OR(#REF!="UP",#REF!="DOWN"),1,0)</f>
        <v>#REF!</v>
      </c>
      <c r="I187" t="e">
        <f>IF(OR(#REF!="UP",#REF!="DOWN"),1,0)</f>
        <v>#REF!</v>
      </c>
      <c r="K187" s="7"/>
      <c r="M187" t="e">
        <f>IF(OR(#REF!="UP",#REF!="DOWN"),0,1)</f>
        <v>#REF!</v>
      </c>
      <c r="N187" t="e">
        <f>IF(OR(#REF!="UP",#REF!="DOWN"),VLOOKUP($C187,Configuración!$H$2:$K$11,3),1)</f>
        <v>#REF!</v>
      </c>
      <c r="O187" t="e">
        <f>IF(OR(#REF!="UP",#REF!="DOWN"),VLOOKUP($C187,Configuración!$H$2:$K$11,4),1)</f>
        <v>#REF!</v>
      </c>
      <c r="P187" t="e">
        <f t="shared" si="22"/>
        <v>#REF!</v>
      </c>
      <c r="Q187" t="e">
        <f t="shared" si="23"/>
        <v>#REF!</v>
      </c>
      <c r="R187" t="e">
        <f t="shared" si="32"/>
        <v>#REF!</v>
      </c>
      <c r="T187" t="e">
        <f>IF(R187&lt;&gt;0,Configuración!$E$2,0)</f>
        <v>#REF!</v>
      </c>
      <c r="U187" t="e">
        <f>IF(R187&lt;&gt;0,Configuración!$F$2,0)</f>
        <v>#REF!</v>
      </c>
      <c r="V187" t="e">
        <f>IF(R187&lt;&gt;0,Configuración!$G$2,0)</f>
        <v>#REF!</v>
      </c>
      <c r="W187" t="e">
        <f t="shared" si="24"/>
        <v>#REF!</v>
      </c>
      <c r="X187" t="e">
        <f t="shared" si="25"/>
        <v>#REF!</v>
      </c>
      <c r="Z187" t="e">
        <f t="shared" si="26"/>
        <v>#REF!</v>
      </c>
      <c r="AB187" t="e">
        <f t="shared" si="27"/>
        <v>#REF!</v>
      </c>
      <c r="AG187" t="e">
        <f t="shared" si="28"/>
        <v>#REF!</v>
      </c>
      <c r="AH187" s="5" t="e">
        <f t="shared" si="29"/>
        <v>#REF!</v>
      </c>
      <c r="AI187" t="e">
        <f t="shared" si="30"/>
        <v>#REF!</v>
      </c>
    </row>
    <row r="188" spans="1:35" x14ac:dyDescent="0.55000000000000004">
      <c r="C188" t="s">
        <v>29</v>
      </c>
      <c r="D188" t="e">
        <f>IF(COUNTIF(#REF!,"&lt;&gt;NAN")=0, 0, IF(AND(OR(#REF!=#REF!,#REF!="NAN"), OR(#REF!=#REF!,#REF!="NAN"), OR(#REF!=#REF!,#REF!="NAN")),#REF!, 0))</f>
        <v>#REF!</v>
      </c>
      <c r="E188" t="e">
        <f>IF(#REF!="NAN","",IF(
   AND(OR(#REF!=#REF!,#REF!="NAN"),
     OR(#REF!=#REF!,#REF!="NAN"),
     OR(#REF!=#REF!,#REF!="NAN")),
   1,
   0))</f>
        <v>#REF!</v>
      </c>
      <c r="F188" t="s">
        <v>38</v>
      </c>
      <c r="G188" t="e">
        <f>IF(OR(#REF!="UP",#REF!="DOWN"),1,0)</f>
        <v>#REF!</v>
      </c>
      <c r="H188" t="e">
        <f>IF(OR(#REF!="UP",#REF!="DOWN"),1,0)</f>
        <v>#REF!</v>
      </c>
      <c r="I188" t="e">
        <f>IF(OR(#REF!="UP",#REF!="DOWN"),1,0)</f>
        <v>#REF!</v>
      </c>
      <c r="K188" s="8"/>
      <c r="M188" t="e">
        <f>IF(OR(#REF!="UP",#REF!="DOWN"),0,1)</f>
        <v>#REF!</v>
      </c>
      <c r="N188" t="e">
        <f>IF(OR(#REF!="UP",#REF!="DOWN"),VLOOKUP($C188,Configuración!$H$2:$K$11,3),1)</f>
        <v>#REF!</v>
      </c>
      <c r="O188" t="e">
        <f>IF(OR(#REF!="UP",#REF!="DOWN"),VLOOKUP($C188,Configuración!$H$2:$K$11,4),1)</f>
        <v>#REF!</v>
      </c>
      <c r="P188" t="e">
        <f t="shared" si="22"/>
        <v>#REF!</v>
      </c>
      <c r="Q188" t="e">
        <f t="shared" si="23"/>
        <v>#REF!</v>
      </c>
      <c r="R188" t="e">
        <f t="shared" si="32"/>
        <v>#REF!</v>
      </c>
      <c r="T188" t="e">
        <f>IF(R188&lt;&gt;0,Configuración!$E$2,0)</f>
        <v>#REF!</v>
      </c>
      <c r="U188" t="e">
        <f>IF(R188&lt;&gt;0,Configuración!$F$2,0)</f>
        <v>#REF!</v>
      </c>
      <c r="V188" t="e">
        <f>IF(R188&lt;&gt;0,Configuración!$G$2,0)</f>
        <v>#REF!</v>
      </c>
      <c r="W188" t="e">
        <f t="shared" si="24"/>
        <v>#REF!</v>
      </c>
      <c r="X188" t="e">
        <f t="shared" si="25"/>
        <v>#REF!</v>
      </c>
      <c r="Z188" t="e">
        <f t="shared" si="26"/>
        <v>#REF!</v>
      </c>
      <c r="AB188" t="e">
        <f t="shared" si="27"/>
        <v>#REF!</v>
      </c>
      <c r="AG188" t="e">
        <f t="shared" si="28"/>
        <v>#REF!</v>
      </c>
      <c r="AH188" s="5" t="e">
        <f t="shared" si="29"/>
        <v>#REF!</v>
      </c>
      <c r="AI188" t="e">
        <f t="shared" si="30"/>
        <v>#REF!</v>
      </c>
    </row>
    <row r="189" spans="1:35" x14ac:dyDescent="0.55000000000000004">
      <c r="C189" t="s">
        <v>31</v>
      </c>
      <c r="D189" t="e">
        <f>IF(COUNTIF(#REF!,"&lt;&gt;NAN")=0, 0, IF(AND(OR(#REF!=#REF!,#REF!="NAN"), OR(#REF!=#REF!,#REF!="NAN"), OR(#REF!=#REF!,#REF!="NAN")),#REF!, 0))</f>
        <v>#REF!</v>
      </c>
      <c r="E189" t="e">
        <f>IF(#REF!="NAN","",IF(
   AND(OR(#REF!=#REF!,#REF!="NAN"),
     OR(#REF!=#REF!,#REF!="NAN"),
     OR(#REF!=#REF!,#REF!="NAN")),
   1,
   0))</f>
        <v>#REF!</v>
      </c>
      <c r="F189" t="s">
        <v>38</v>
      </c>
      <c r="G189" t="e">
        <f>IF(OR(#REF!="UP",#REF!="DOWN"),1,0)</f>
        <v>#REF!</v>
      </c>
      <c r="H189" t="e">
        <f>IF(OR(#REF!="UP",#REF!="DOWN"),1,0)</f>
        <v>#REF!</v>
      </c>
      <c r="I189" t="e">
        <f>IF(OR(#REF!="UP",#REF!="DOWN"),1,0)</f>
        <v>#REF!</v>
      </c>
      <c r="K189" s="8"/>
      <c r="M189" t="e">
        <f>IF(OR(#REF!="UP",#REF!="DOWN"),0,1)</f>
        <v>#REF!</v>
      </c>
      <c r="N189" t="e">
        <f>IF(OR(#REF!="UP",#REF!="DOWN"),VLOOKUP($C189,Configuración!$H$2:$K$11,3),1)</f>
        <v>#REF!</v>
      </c>
      <c r="O189" t="e">
        <f>IF(OR(#REF!="UP",#REF!="DOWN"),VLOOKUP($C189,Configuración!$H$2:$K$11,4),1)</f>
        <v>#REF!</v>
      </c>
      <c r="P189" t="e">
        <f t="shared" si="22"/>
        <v>#REF!</v>
      </c>
      <c r="Q189" t="e">
        <f t="shared" si="23"/>
        <v>#REF!</v>
      </c>
      <c r="R189" t="e">
        <f t="shared" si="32"/>
        <v>#REF!</v>
      </c>
      <c r="T189" t="e">
        <f>IF(R189&lt;&gt;0,Configuración!$E$2,0)</f>
        <v>#REF!</v>
      </c>
      <c r="U189" t="e">
        <f>IF(R189&lt;&gt;0,Configuración!$F$2,0)</f>
        <v>#REF!</v>
      </c>
      <c r="V189" t="e">
        <f>IF(R189&lt;&gt;0,Configuración!$G$2,0)</f>
        <v>#REF!</v>
      </c>
      <c r="W189" t="e">
        <f t="shared" si="24"/>
        <v>#REF!</v>
      </c>
      <c r="X189" t="e">
        <f t="shared" si="25"/>
        <v>#REF!</v>
      </c>
      <c r="Z189" t="e">
        <f t="shared" si="26"/>
        <v>#REF!</v>
      </c>
      <c r="AB189" t="e">
        <f t="shared" si="27"/>
        <v>#REF!</v>
      </c>
      <c r="AG189" t="e">
        <f t="shared" si="28"/>
        <v>#REF!</v>
      </c>
      <c r="AH189" s="5" t="e">
        <f t="shared" si="29"/>
        <v>#REF!</v>
      </c>
      <c r="AI189" t="e">
        <f t="shared" si="30"/>
        <v>#REF!</v>
      </c>
    </row>
    <row r="190" spans="1:35" x14ac:dyDescent="0.55000000000000004">
      <c r="A190" s="3">
        <v>45947</v>
      </c>
      <c r="C190" t="s">
        <v>32</v>
      </c>
      <c r="D190" t="e">
        <f>IF(COUNTIF(#REF!,"&lt;&gt;NAN")=0, 0, IF(AND(OR(#REF!=#REF!,#REF!="NAN"), OR(#REF!=#REF!,#REF!="NAN"), OR(#REF!=#REF!,#REF!="NAN")),#REF!, 0))</f>
        <v>#REF!</v>
      </c>
      <c r="E190" t="e">
        <f>IF(#REF!="NAN","",IF(
   AND(OR(#REF!=#REF!,#REF!="NAN"),
     OR(#REF!=#REF!,#REF!="NAN"),
     OR(#REF!=#REF!,#REF!="NAN")),
   1,
   0))</f>
        <v>#REF!</v>
      </c>
      <c r="F190" t="s">
        <v>51</v>
      </c>
      <c r="G190" t="e">
        <f>IF(OR(#REF!="UP",#REF!="DOWN"),1,0)</f>
        <v>#REF!</v>
      </c>
      <c r="H190" t="e">
        <f>IF(OR(#REF!="UP",#REF!="DOWN"),1,0)</f>
        <v>#REF!</v>
      </c>
      <c r="I190" t="e">
        <f>IF(OR(#REF!="UP",#REF!="DOWN"),1,0)</f>
        <v>#REF!</v>
      </c>
      <c r="J190" t="s">
        <v>37</v>
      </c>
      <c r="K190" s="7"/>
      <c r="M190" t="e">
        <f>IF(OR(#REF!="UP",#REF!="DOWN"),0,1)</f>
        <v>#REF!</v>
      </c>
      <c r="N190" t="e">
        <f>IF(OR(#REF!="UP",#REF!="DOWN"),VLOOKUP($C190,Configuración!$H$2:$K$11,3),1)</f>
        <v>#REF!</v>
      </c>
      <c r="O190" t="e">
        <f>IF(OR(#REF!="UP",#REF!="DOWN"),VLOOKUP($C190,Configuración!$H$2:$K$11,4),1)</f>
        <v>#REF!</v>
      </c>
      <c r="P190" t="e">
        <f t="shared" si="22"/>
        <v>#REF!</v>
      </c>
      <c r="Q190" t="e">
        <f t="shared" si="23"/>
        <v>#REF!</v>
      </c>
      <c r="R190" t="e">
        <f t="shared" si="32"/>
        <v>#REF!</v>
      </c>
      <c r="T190" t="e">
        <f>IF(R190&lt;&gt;0,Configuración!$E$2,0)</f>
        <v>#REF!</v>
      </c>
      <c r="U190" t="e">
        <f>IF(R190&lt;&gt;0,Configuración!$F$2,0)</f>
        <v>#REF!</v>
      </c>
      <c r="V190" t="e">
        <f>IF(R190&lt;&gt;0,Configuración!$G$2,0)</f>
        <v>#REF!</v>
      </c>
      <c r="W190" t="e">
        <f t="shared" si="24"/>
        <v>#REF!</v>
      </c>
      <c r="X190" t="e">
        <f t="shared" si="25"/>
        <v>#REF!</v>
      </c>
      <c r="Z190" t="e">
        <f t="shared" si="26"/>
        <v>#REF!</v>
      </c>
      <c r="AB190" t="e">
        <f t="shared" si="27"/>
        <v>#REF!</v>
      </c>
      <c r="AG190" t="e">
        <f t="shared" si="28"/>
        <v>#REF!</v>
      </c>
      <c r="AH190" s="5" t="e">
        <f t="shared" si="29"/>
        <v>#REF!</v>
      </c>
      <c r="AI190" t="e">
        <f t="shared" si="30"/>
        <v>#REF!</v>
      </c>
    </row>
    <row r="191" spans="1:35" x14ac:dyDescent="0.55000000000000004">
      <c r="C191" t="s">
        <v>26</v>
      </c>
      <c r="D191" t="e">
        <f>IF(COUNTIF(#REF!,"&lt;&gt;NAN")=0, 0, IF(AND(OR(#REF!=#REF!,#REF!="NAN"), OR(#REF!=#REF!,#REF!="NAN"), OR(#REF!=#REF!,#REF!="NAN")),#REF!, 0))</f>
        <v>#REF!</v>
      </c>
      <c r="E191" t="e">
        <f>IF(#REF!="NAN","",IF(
   AND(OR(#REF!=#REF!,#REF!="NAN"),
     OR(#REF!=#REF!,#REF!="NAN"),
     OR(#REF!=#REF!,#REF!="NAN")),
   1,
   0))</f>
        <v>#REF!</v>
      </c>
      <c r="F191" t="s">
        <v>51</v>
      </c>
      <c r="G191" t="e">
        <f>IF(OR(#REF!="UP",#REF!="DOWN"),1,0)</f>
        <v>#REF!</v>
      </c>
      <c r="H191" t="e">
        <f>IF(OR(#REF!="UP",#REF!="DOWN"),1,0)</f>
        <v>#REF!</v>
      </c>
      <c r="I191" t="e">
        <f>IF(OR(#REF!="UP",#REF!="DOWN"),1,0)</f>
        <v>#REF!</v>
      </c>
      <c r="J191" t="s">
        <v>38</v>
      </c>
      <c r="K191" s="7"/>
      <c r="M191" t="e">
        <f>IF(OR(#REF!="UP",#REF!="DOWN"),0,1)</f>
        <v>#REF!</v>
      </c>
      <c r="N191" t="e">
        <f>IF(OR(#REF!="UP",#REF!="DOWN"),VLOOKUP($C191,Configuración!$H$2:$K$11,3),1)</f>
        <v>#REF!</v>
      </c>
      <c r="O191" t="e">
        <f>IF(OR(#REF!="UP",#REF!="DOWN"),VLOOKUP($C191,Configuración!$H$2:$K$11,4),1)</f>
        <v>#REF!</v>
      </c>
      <c r="P191" t="e">
        <f t="shared" si="22"/>
        <v>#REF!</v>
      </c>
      <c r="Q191" t="e">
        <f t="shared" si="23"/>
        <v>#REF!</v>
      </c>
      <c r="R191" t="e">
        <f t="shared" si="32"/>
        <v>#REF!</v>
      </c>
      <c r="T191" t="e">
        <f>IF(R191&lt;&gt;0,Configuración!$E$2,0)</f>
        <v>#REF!</v>
      </c>
      <c r="U191" t="e">
        <f>IF(R191&lt;&gt;0,Configuración!$F$2,0)</f>
        <v>#REF!</v>
      </c>
      <c r="V191" t="e">
        <f>IF(R191&lt;&gt;0,Configuración!$G$2,0)</f>
        <v>#REF!</v>
      </c>
      <c r="W191" t="e">
        <f t="shared" si="24"/>
        <v>#REF!</v>
      </c>
      <c r="X191" t="e">
        <f t="shared" si="25"/>
        <v>#REF!</v>
      </c>
      <c r="Z191" t="e">
        <f t="shared" si="26"/>
        <v>#REF!</v>
      </c>
      <c r="AB191" t="e">
        <f t="shared" si="27"/>
        <v>#REF!</v>
      </c>
      <c r="AG191" t="e">
        <f t="shared" si="28"/>
        <v>#REF!</v>
      </c>
      <c r="AH191" s="5" t="e">
        <f t="shared" si="29"/>
        <v>#REF!</v>
      </c>
      <c r="AI191" t="e">
        <f t="shared" si="30"/>
        <v>#REF!</v>
      </c>
    </row>
    <row r="192" spans="1:35" x14ac:dyDescent="0.55000000000000004">
      <c r="C192" t="s">
        <v>33</v>
      </c>
      <c r="D192" t="e">
        <f>IF(COUNTIF(#REF!,"&lt;&gt;NAN")=0, 0, IF(AND(OR(#REF!=#REF!,#REF!="NAN"), OR(#REF!=#REF!,#REF!="NAN"), OR(#REF!=#REF!,#REF!="NAN")),#REF!, 0))</f>
        <v>#REF!</v>
      </c>
      <c r="E192" t="e">
        <f>IF(#REF!="NAN","",IF(
   AND(OR(#REF!=#REF!,#REF!="NAN"),
     OR(#REF!=#REF!,#REF!="NAN"),
     OR(#REF!=#REF!,#REF!="NAN")),
   1,
   0))</f>
        <v>#REF!</v>
      </c>
      <c r="F192" t="s">
        <v>51</v>
      </c>
      <c r="G192" t="e">
        <f>IF(OR(#REF!="UP",#REF!="DOWN"),1,0)</f>
        <v>#REF!</v>
      </c>
      <c r="H192" t="e">
        <f>IF(OR(#REF!="UP",#REF!="DOWN"),1,0)</f>
        <v>#REF!</v>
      </c>
      <c r="I192" t="e">
        <f>IF(OR(#REF!="UP",#REF!="DOWN"),1,0)</f>
        <v>#REF!</v>
      </c>
      <c r="J192" t="s">
        <v>51</v>
      </c>
      <c r="K192" s="7"/>
      <c r="M192" t="e">
        <f>IF(OR(#REF!="UP",#REF!="DOWN"),0,1)</f>
        <v>#REF!</v>
      </c>
      <c r="N192" t="e">
        <f>IF(OR(#REF!="UP",#REF!="DOWN"),VLOOKUP($C192,Configuración!$H$2:$K$11,3),1)</f>
        <v>#REF!</v>
      </c>
      <c r="O192" t="e">
        <f>IF(OR(#REF!="UP",#REF!="DOWN"),VLOOKUP($C192,Configuración!$H$2:$K$11,4),1)</f>
        <v>#REF!</v>
      </c>
      <c r="P192" t="e">
        <f t="shared" si="22"/>
        <v>#REF!</v>
      </c>
      <c r="Q192" t="e">
        <f t="shared" si="23"/>
        <v>#REF!</v>
      </c>
      <c r="R192" t="e">
        <f t="shared" si="32"/>
        <v>#REF!</v>
      </c>
      <c r="T192" t="e">
        <f>IF(R192&lt;&gt;0,Configuración!$E$2,0)</f>
        <v>#REF!</v>
      </c>
      <c r="U192" t="e">
        <f>IF(R192&lt;&gt;0,Configuración!$F$2,0)</f>
        <v>#REF!</v>
      </c>
      <c r="V192" t="e">
        <f>IF(R192&lt;&gt;0,Configuración!$G$2,0)</f>
        <v>#REF!</v>
      </c>
      <c r="W192" t="e">
        <f t="shared" si="24"/>
        <v>#REF!</v>
      </c>
      <c r="X192" t="e">
        <f t="shared" si="25"/>
        <v>#REF!</v>
      </c>
      <c r="Z192" t="e">
        <f t="shared" si="26"/>
        <v>#REF!</v>
      </c>
      <c r="AB192" t="e">
        <f t="shared" si="27"/>
        <v>#REF!</v>
      </c>
      <c r="AG192" t="e">
        <f t="shared" si="28"/>
        <v>#REF!</v>
      </c>
      <c r="AH192" s="5" t="e">
        <f t="shared" si="29"/>
        <v>#REF!</v>
      </c>
      <c r="AI192" t="e">
        <f t="shared" si="30"/>
        <v>#REF!</v>
      </c>
    </row>
    <row r="193" spans="1:35" x14ac:dyDescent="0.55000000000000004">
      <c r="C193" t="s">
        <v>35</v>
      </c>
      <c r="D193" t="e">
        <f>IF(COUNTIF(#REF!,"&lt;&gt;NAN")=0, 0, IF(AND(OR(#REF!=#REF!,#REF!="NAN"), OR(#REF!=#REF!,#REF!="NAN"), OR(#REF!=#REF!,#REF!="NAN")),#REF!, 0))</f>
        <v>#REF!</v>
      </c>
      <c r="E193" t="e">
        <f>IF(#REF!="NAN","",IF(
   AND(OR(#REF!=#REF!,#REF!="NAN"),
     OR(#REF!=#REF!,#REF!="NAN"),
     OR(#REF!=#REF!,#REF!="NAN")),
   1,
   0))</f>
        <v>#REF!</v>
      </c>
      <c r="F193" t="s">
        <v>51</v>
      </c>
      <c r="G193" t="e">
        <f>IF(OR(#REF!="UP",#REF!="DOWN"),1,0)</f>
        <v>#REF!</v>
      </c>
      <c r="H193" t="e">
        <f>IF(OR(#REF!="UP",#REF!="DOWN"),1,0)</f>
        <v>#REF!</v>
      </c>
      <c r="I193" t="e">
        <f>IF(OR(#REF!="UP",#REF!="DOWN"),1,0)</f>
        <v>#REF!</v>
      </c>
      <c r="J193" t="s">
        <v>51</v>
      </c>
      <c r="K193" s="7"/>
      <c r="M193" t="e">
        <f>IF(OR(#REF!="UP",#REF!="DOWN"),0,1)</f>
        <v>#REF!</v>
      </c>
      <c r="N193" t="e">
        <f>IF(OR(#REF!="UP",#REF!="DOWN"),VLOOKUP($C193,Configuración!$H$2:$K$11,3),1)</f>
        <v>#REF!</v>
      </c>
      <c r="O193" t="e">
        <f>IF(OR(#REF!="UP",#REF!="DOWN"),VLOOKUP($C193,Configuración!$H$2:$K$11,4),1)</f>
        <v>#REF!</v>
      </c>
      <c r="P193" t="e">
        <f t="shared" si="22"/>
        <v>#REF!</v>
      </c>
      <c r="Q193" t="e">
        <f t="shared" si="23"/>
        <v>#REF!</v>
      </c>
      <c r="R193" t="e">
        <f t="shared" si="32"/>
        <v>#REF!</v>
      </c>
      <c r="T193" t="e">
        <f>IF(R193&lt;&gt;0,Configuración!$E$2,0)</f>
        <v>#REF!</v>
      </c>
      <c r="U193" t="e">
        <f>IF(R193&lt;&gt;0,Configuración!$F$2,0)</f>
        <v>#REF!</v>
      </c>
      <c r="V193" t="e">
        <f>IF(R193&lt;&gt;0,Configuración!$G$2,0)</f>
        <v>#REF!</v>
      </c>
      <c r="W193" t="e">
        <f t="shared" si="24"/>
        <v>#REF!</v>
      </c>
      <c r="X193" t="e">
        <f t="shared" si="25"/>
        <v>#REF!</v>
      </c>
      <c r="Z193" t="e">
        <f t="shared" si="26"/>
        <v>#REF!</v>
      </c>
      <c r="AB193" t="e">
        <f t="shared" si="27"/>
        <v>#REF!</v>
      </c>
      <c r="AG193" t="e">
        <f t="shared" si="28"/>
        <v>#REF!</v>
      </c>
      <c r="AH193" s="5" t="e">
        <f t="shared" si="29"/>
        <v>#REF!</v>
      </c>
      <c r="AI193" t="e">
        <f t="shared" si="30"/>
        <v>#REF!</v>
      </c>
    </row>
    <row r="194" spans="1:35" x14ac:dyDescent="0.55000000000000004">
      <c r="C194" t="s">
        <v>34</v>
      </c>
      <c r="D194" t="e">
        <f>IF(COUNTIF(#REF!,"&lt;&gt;NAN")=0, 0, IF(AND(OR(#REF!=#REF!,#REF!="NAN"), OR(#REF!=#REF!,#REF!="NAN"), OR(#REF!=#REF!,#REF!="NAN")),#REF!, 0))</f>
        <v>#REF!</v>
      </c>
      <c r="E194" t="e">
        <f>IF(#REF!="NAN","",IF(
   AND(OR(#REF!=#REF!,#REF!="NAN"),
     OR(#REF!=#REF!,#REF!="NAN"),
     OR(#REF!=#REF!,#REF!="NAN")),
   1,
   0))</f>
        <v>#REF!</v>
      </c>
      <c r="F194" t="s">
        <v>38</v>
      </c>
      <c r="G194" t="e">
        <f>IF(OR(#REF!="UP",#REF!="DOWN"),1,0)</f>
        <v>#REF!</v>
      </c>
      <c r="H194" t="e">
        <f>IF(OR(#REF!="UP",#REF!="DOWN"),1,0)</f>
        <v>#REF!</v>
      </c>
      <c r="I194" t="e">
        <f>IF(OR(#REF!="UP",#REF!="DOWN"),1,0)</f>
        <v>#REF!</v>
      </c>
      <c r="J194" t="s">
        <v>37</v>
      </c>
      <c r="K194" s="7"/>
      <c r="M194" t="e">
        <f>IF(OR(#REF!="UP",#REF!="DOWN"),0,1)</f>
        <v>#REF!</v>
      </c>
      <c r="N194" t="e">
        <f>IF(OR(#REF!="UP",#REF!="DOWN"),VLOOKUP($C194,Configuración!$H$2:$K$11,3),1)</f>
        <v>#REF!</v>
      </c>
      <c r="O194" t="e">
        <f>IF(OR(#REF!="UP",#REF!="DOWN"),VLOOKUP($C194,Configuración!$H$2:$K$11,4),1)</f>
        <v>#REF!</v>
      </c>
      <c r="P194" t="e">
        <f t="shared" si="22"/>
        <v>#REF!</v>
      </c>
      <c r="Q194" t="e">
        <f t="shared" si="23"/>
        <v>#REF!</v>
      </c>
      <c r="R194" t="e">
        <f t="shared" si="32"/>
        <v>#REF!</v>
      </c>
      <c r="T194" t="e">
        <f>IF(R194&lt;&gt;0,Configuración!$E$2,0)</f>
        <v>#REF!</v>
      </c>
      <c r="U194" t="e">
        <f>IF(R194&lt;&gt;0,Configuración!$F$2,0)</f>
        <v>#REF!</v>
      </c>
      <c r="V194" t="e">
        <f>IF(R194&lt;&gt;0,Configuración!$G$2,0)</f>
        <v>#REF!</v>
      </c>
      <c r="W194" t="e">
        <f t="shared" si="24"/>
        <v>#REF!</v>
      </c>
      <c r="X194" t="e">
        <f t="shared" si="25"/>
        <v>#REF!</v>
      </c>
      <c r="Z194" t="e">
        <f t="shared" si="26"/>
        <v>#REF!</v>
      </c>
      <c r="AB194" t="e">
        <f t="shared" si="27"/>
        <v>#REF!</v>
      </c>
      <c r="AG194" t="e">
        <f t="shared" si="28"/>
        <v>#REF!</v>
      </c>
      <c r="AH194" s="5" t="e">
        <f t="shared" si="29"/>
        <v>#REF!</v>
      </c>
      <c r="AI194" t="e">
        <f t="shared" si="30"/>
        <v>#REF!</v>
      </c>
    </row>
    <row r="195" spans="1:35" x14ac:dyDescent="0.55000000000000004">
      <c r="C195" t="s">
        <v>27</v>
      </c>
      <c r="D195" t="e">
        <f>IF(COUNTIF(#REF!,"&lt;&gt;NAN")=0, 0, IF(AND(OR(#REF!=#REF!,#REF!="NAN"), OR(#REF!=#REF!,#REF!="NAN"), OR(#REF!=#REF!,#REF!="NAN")),#REF!, 0))</f>
        <v>#REF!</v>
      </c>
      <c r="E195" t="e">
        <f>IF(#REF!="NAN","",IF(
   AND(OR(#REF!=#REF!,#REF!="NAN"),
     OR(#REF!=#REF!,#REF!="NAN"),
     OR(#REF!=#REF!,#REF!="NAN")),
   1,
   0))</f>
        <v>#REF!</v>
      </c>
      <c r="F195" t="s">
        <v>37</v>
      </c>
      <c r="G195" t="e">
        <f>IF(OR(#REF!="UP",#REF!="DOWN"),1,0)</f>
        <v>#REF!</v>
      </c>
      <c r="H195" t="e">
        <f>IF(OR(#REF!="UP",#REF!="DOWN"),1,0)</f>
        <v>#REF!</v>
      </c>
      <c r="I195" t="e">
        <f>IF(OR(#REF!="UP",#REF!="DOWN"),1,0)</f>
        <v>#REF!</v>
      </c>
      <c r="J195" t="s">
        <v>51</v>
      </c>
      <c r="K195" s="8"/>
      <c r="M195" t="e">
        <f>IF(OR(#REF!="UP",#REF!="DOWN"),0,1)</f>
        <v>#REF!</v>
      </c>
      <c r="N195" t="e">
        <f>IF(OR(#REF!="UP",#REF!="DOWN"),VLOOKUP($C195,Configuración!$H$2:$K$11,3),1)</f>
        <v>#REF!</v>
      </c>
      <c r="O195" t="e">
        <f>IF(OR(#REF!="UP",#REF!="DOWN"),VLOOKUP($C195,Configuración!$H$2:$K$11,4),1)</f>
        <v>#REF!</v>
      </c>
      <c r="P195" t="e">
        <f t="shared" si="22"/>
        <v>#REF!</v>
      </c>
      <c r="Q195" t="e">
        <f t="shared" si="23"/>
        <v>#REF!</v>
      </c>
      <c r="R195" t="e">
        <f t="shared" si="32"/>
        <v>#REF!</v>
      </c>
      <c r="T195" t="e">
        <f>IF(R195&lt;&gt;0,Configuración!$E$2,0)</f>
        <v>#REF!</v>
      </c>
      <c r="U195" t="e">
        <f>IF(R195&lt;&gt;0,Configuración!$F$2,0)</f>
        <v>#REF!</v>
      </c>
      <c r="V195" t="e">
        <f>IF(R195&lt;&gt;0,Configuración!$G$2,0)</f>
        <v>#REF!</v>
      </c>
      <c r="W195" t="e">
        <f t="shared" si="24"/>
        <v>#REF!</v>
      </c>
      <c r="X195" t="e">
        <f t="shared" si="25"/>
        <v>#REF!</v>
      </c>
      <c r="Z195" t="e">
        <f t="shared" si="26"/>
        <v>#REF!</v>
      </c>
      <c r="AB195" t="e">
        <f t="shared" si="27"/>
        <v>#REF!</v>
      </c>
      <c r="AG195" t="e">
        <f t="shared" si="28"/>
        <v>#REF!</v>
      </c>
      <c r="AH195" s="5" t="e">
        <f t="shared" si="29"/>
        <v>#REF!</v>
      </c>
      <c r="AI195" t="e">
        <f t="shared" si="30"/>
        <v>#REF!</v>
      </c>
    </row>
    <row r="196" spans="1:35" x14ac:dyDescent="0.55000000000000004">
      <c r="C196" t="s">
        <v>28</v>
      </c>
      <c r="D196" t="e">
        <f>IF(COUNTIF(#REF!,"&lt;&gt;NAN")=0, 0, IF(AND(OR(#REF!=#REF!,#REF!="NAN"), OR(#REF!=#REF!,#REF!="NAN"), OR(#REF!=#REF!,#REF!="NAN")),#REF!, 0))</f>
        <v>#REF!</v>
      </c>
      <c r="E196" t="e">
        <f>IF(#REF!="NAN","",IF(
   AND(OR(#REF!=#REF!,#REF!="NAN"),
     OR(#REF!=#REF!,#REF!="NAN"),
     OR(#REF!=#REF!,#REF!="NAN")),
   1,
   0))</f>
        <v>#REF!</v>
      </c>
      <c r="F196" t="s">
        <v>37</v>
      </c>
      <c r="G196" t="e">
        <f>IF(OR(#REF!="UP",#REF!="DOWN"),1,0)</f>
        <v>#REF!</v>
      </c>
      <c r="H196" t="e">
        <f>IF(OR(#REF!="UP",#REF!="DOWN"),1,0)</f>
        <v>#REF!</v>
      </c>
      <c r="I196" t="e">
        <f>IF(OR(#REF!="UP",#REF!="DOWN"),1,0)</f>
        <v>#REF!</v>
      </c>
      <c r="J196" t="s">
        <v>51</v>
      </c>
      <c r="K196" s="8"/>
      <c r="M196" t="e">
        <f>IF(OR(#REF!="UP",#REF!="DOWN"),0,1)</f>
        <v>#REF!</v>
      </c>
      <c r="N196" t="e">
        <f>IF(OR(#REF!="UP",#REF!="DOWN"),VLOOKUP($C196,Configuración!$H$2:$K$11,3),1)</f>
        <v>#REF!</v>
      </c>
      <c r="O196" t="e">
        <f>IF(OR(#REF!="UP",#REF!="DOWN"),VLOOKUP($C196,Configuración!$H$2:$K$11,4),1)</f>
        <v>#REF!</v>
      </c>
      <c r="P196" t="e">
        <f t="shared" ref="P196:P259" si="33">IF(SUM(G196:I196)=0,
    0,
    IF(SUM(G196:I196)=1,
        G196*M196 + H196*N196 + I196*O196,
        IF(SUM(G196:I196)=2,
            1 - PRODUCT(
                IF(G196=1,1-M196,1),
                IF(H196=1,1-N196,1),
                IF(I196=1,1-O196,1)
            ),
            IF(SUM(G196:I196)=3,
                1 - PRODUCT(1-M196,1-N196,1-O196),
                0
            )
        )
    )
)</f>
        <v>#REF!</v>
      </c>
      <c r="Q196" t="e">
        <f t="shared" ref="Q196:Q259" si="34">P196*E196</f>
        <v>#REF!</v>
      </c>
      <c r="R196" t="e">
        <f t="shared" si="32"/>
        <v>#REF!</v>
      </c>
      <c r="T196" t="e">
        <f>IF(R196&lt;&gt;0,Configuración!$E$2,0)</f>
        <v>#REF!</v>
      </c>
      <c r="U196" t="e">
        <f>IF(R196&lt;&gt;0,Configuración!$F$2,0)</f>
        <v>#REF!</v>
      </c>
      <c r="V196" t="e">
        <f>IF(R196&lt;&gt;0,Configuración!$G$2,0)</f>
        <v>#REF!</v>
      </c>
      <c r="W196" t="e">
        <f t="shared" ref="W196:W259" si="35">IF(R196="DOWN",S196+(S196*T196/100),S196-(S196*T196/100))</f>
        <v>#REF!</v>
      </c>
      <c r="X196" t="e">
        <f t="shared" ref="X196:X259" si="36">IF(R196="DOWN",S196-(S196*U196/100),S196+(S196*U196/100))</f>
        <v>#REF!</v>
      </c>
      <c r="Z196" t="e">
        <f t="shared" ref="Z196:Z259" si="37">IF(R196="DOWN",IF(Y196 &lt; S196 * (1 - 0.01), Y196 * (1 + 0.005), ""),IF(Y196 &gt; S196 * (1 + 0.01), Y196 * (1 - 0.005), ""))</f>
        <v>#REF!</v>
      </c>
      <c r="AB196" t="e">
        <f t="shared" ref="AB196:AB259" si="38">(($B$1) *(T196))/100</f>
        <v>#REF!</v>
      </c>
      <c r="AG196" t="e">
        <f t="shared" ref="AG196:AG259" si="39">IF(R196="DOWN",(S196-AA196)/S196*1000,(AA196-S196)/S196*1000)</f>
        <v>#REF!</v>
      </c>
      <c r="AH196" s="5" t="e">
        <f t="shared" ref="AH196:AH259" si="40">AB196*(AG196)</f>
        <v>#REF!</v>
      </c>
      <c r="AI196" t="e">
        <f t="shared" ref="AI196:AI259" si="41">IF(AK196&lt;V196,"MANTENER","CERRAR")</f>
        <v>#REF!</v>
      </c>
    </row>
    <row r="197" spans="1:35" x14ac:dyDescent="0.55000000000000004">
      <c r="C197" t="s">
        <v>30</v>
      </c>
      <c r="D197" t="e">
        <f>IF(COUNTIF(#REF!,"&lt;&gt;NAN")=0, 0, IF(AND(OR(#REF!=#REF!,#REF!="NAN"), OR(#REF!=#REF!,#REF!="NAN"), OR(#REF!=#REF!,#REF!="NAN")),#REF!, 0))</f>
        <v>#REF!</v>
      </c>
      <c r="E197" t="e">
        <f>IF(#REF!="NAN","",IF(
   AND(OR(#REF!=#REF!,#REF!="NAN"),
     OR(#REF!=#REF!,#REF!="NAN"),
     OR(#REF!=#REF!,#REF!="NAN")),
   1,
   0))</f>
        <v>#REF!</v>
      </c>
      <c r="F197" t="s">
        <v>51</v>
      </c>
      <c r="G197" t="e">
        <f>IF(OR(#REF!="UP",#REF!="DOWN"),1,0)</f>
        <v>#REF!</v>
      </c>
      <c r="H197" t="e">
        <f>IF(OR(#REF!="UP",#REF!="DOWN"),1,0)</f>
        <v>#REF!</v>
      </c>
      <c r="I197" t="e">
        <f>IF(OR(#REF!="UP",#REF!="DOWN"),1,0)</f>
        <v>#REF!</v>
      </c>
      <c r="J197" t="s">
        <v>51</v>
      </c>
      <c r="K197" s="7"/>
      <c r="M197" t="e">
        <f>IF(OR(#REF!="UP",#REF!="DOWN"),0,1)</f>
        <v>#REF!</v>
      </c>
      <c r="N197" t="e">
        <f>IF(OR(#REF!="UP",#REF!="DOWN"),VLOOKUP($C197,Configuración!$H$2:$K$11,3),1)</f>
        <v>#REF!</v>
      </c>
      <c r="O197" t="e">
        <f>IF(OR(#REF!="UP",#REF!="DOWN"),VLOOKUP($C197,Configuración!$H$2:$K$11,4),1)</f>
        <v>#REF!</v>
      </c>
      <c r="P197" t="e">
        <f t="shared" si="33"/>
        <v>#REF!</v>
      </c>
      <c r="Q197" t="e">
        <f t="shared" si="34"/>
        <v>#REF!</v>
      </c>
      <c r="R197" t="e">
        <f t="shared" si="32"/>
        <v>#REF!</v>
      </c>
      <c r="T197" t="e">
        <f>IF(R197&lt;&gt;0,Configuración!$E$2,0)</f>
        <v>#REF!</v>
      </c>
      <c r="U197" t="e">
        <f>IF(R197&lt;&gt;0,Configuración!$F$2,0)</f>
        <v>#REF!</v>
      </c>
      <c r="V197" t="e">
        <f>IF(R197&lt;&gt;0,Configuración!$G$2,0)</f>
        <v>#REF!</v>
      </c>
      <c r="W197" t="e">
        <f t="shared" si="35"/>
        <v>#REF!</v>
      </c>
      <c r="X197" t="e">
        <f t="shared" si="36"/>
        <v>#REF!</v>
      </c>
      <c r="Z197" t="e">
        <f t="shared" si="37"/>
        <v>#REF!</v>
      </c>
      <c r="AB197" t="e">
        <f t="shared" si="38"/>
        <v>#REF!</v>
      </c>
      <c r="AG197" t="e">
        <f t="shared" si="39"/>
        <v>#REF!</v>
      </c>
      <c r="AH197" s="5" t="e">
        <f t="shared" si="40"/>
        <v>#REF!</v>
      </c>
      <c r="AI197" t="e">
        <f t="shared" si="41"/>
        <v>#REF!</v>
      </c>
    </row>
    <row r="198" spans="1:35" x14ac:dyDescent="0.55000000000000004">
      <c r="C198" t="s">
        <v>29</v>
      </c>
      <c r="D198" t="e">
        <f>IF(COUNTIF(#REF!,"&lt;&gt;NAN")=0, 0, IF(AND(OR(#REF!=#REF!,#REF!="NAN"), OR(#REF!=#REF!,#REF!="NAN"), OR(#REF!=#REF!,#REF!="NAN")),#REF!, 0))</f>
        <v>#REF!</v>
      </c>
      <c r="E198" t="e">
        <f>IF(#REF!="NAN","",IF(
   AND(OR(#REF!=#REF!,#REF!="NAN"),
     OR(#REF!=#REF!,#REF!="NAN"),
     OR(#REF!=#REF!,#REF!="NAN")),
   1,
   0))</f>
        <v>#REF!</v>
      </c>
      <c r="F198" t="s">
        <v>38</v>
      </c>
      <c r="G198" t="e">
        <f>IF(OR(#REF!="UP",#REF!="DOWN"),1,0)</f>
        <v>#REF!</v>
      </c>
      <c r="H198" t="e">
        <f>IF(OR(#REF!="UP",#REF!="DOWN"),1,0)</f>
        <v>#REF!</v>
      </c>
      <c r="I198" t="e">
        <f>IF(OR(#REF!="UP",#REF!="DOWN"),1,0)</f>
        <v>#REF!</v>
      </c>
      <c r="J198" t="s">
        <v>38</v>
      </c>
      <c r="K198" s="8"/>
      <c r="M198" t="e">
        <f>IF(OR(#REF!="UP",#REF!="DOWN"),0,1)</f>
        <v>#REF!</v>
      </c>
      <c r="N198" t="e">
        <f>IF(OR(#REF!="UP",#REF!="DOWN"),VLOOKUP($C198,Configuración!$H$2:$K$11,3),1)</f>
        <v>#REF!</v>
      </c>
      <c r="O198" t="e">
        <f>IF(OR(#REF!="UP",#REF!="DOWN"),VLOOKUP($C198,Configuración!$H$2:$K$11,4),1)</f>
        <v>#REF!</v>
      </c>
      <c r="P198" t="e">
        <f t="shared" si="33"/>
        <v>#REF!</v>
      </c>
      <c r="Q198" t="e">
        <f t="shared" si="34"/>
        <v>#REF!</v>
      </c>
      <c r="R198" t="e">
        <f t="shared" si="32"/>
        <v>#REF!</v>
      </c>
      <c r="T198" t="e">
        <f>IF(R198&lt;&gt;0,Configuración!$E$2,0)</f>
        <v>#REF!</v>
      </c>
      <c r="U198" t="e">
        <f>IF(R198&lt;&gt;0,Configuración!$F$2,0)</f>
        <v>#REF!</v>
      </c>
      <c r="V198" t="e">
        <f>IF(R198&lt;&gt;0,Configuración!$G$2,0)</f>
        <v>#REF!</v>
      </c>
      <c r="W198" t="e">
        <f t="shared" si="35"/>
        <v>#REF!</v>
      </c>
      <c r="X198" t="e">
        <f t="shared" si="36"/>
        <v>#REF!</v>
      </c>
      <c r="Z198" t="e">
        <f t="shared" si="37"/>
        <v>#REF!</v>
      </c>
      <c r="AB198" t="e">
        <f t="shared" si="38"/>
        <v>#REF!</v>
      </c>
      <c r="AG198" t="e">
        <f t="shared" si="39"/>
        <v>#REF!</v>
      </c>
      <c r="AH198" s="5" t="e">
        <f t="shared" si="40"/>
        <v>#REF!</v>
      </c>
      <c r="AI198" t="e">
        <f t="shared" si="41"/>
        <v>#REF!</v>
      </c>
    </row>
    <row r="199" spans="1:35" x14ac:dyDescent="0.55000000000000004">
      <c r="C199" t="s">
        <v>31</v>
      </c>
      <c r="D199" t="e">
        <f>IF(COUNTIF(#REF!,"&lt;&gt;NAN")=0, 0, IF(AND(OR(#REF!=#REF!,#REF!="NAN"), OR(#REF!=#REF!,#REF!="NAN"), OR(#REF!=#REF!,#REF!="NAN")),#REF!, 0))</f>
        <v>#REF!</v>
      </c>
      <c r="E199" t="e">
        <f>IF(#REF!="NAN","",IF(
   AND(OR(#REF!=#REF!,#REF!="NAN"),
     OR(#REF!=#REF!,#REF!="NAN"),
     OR(#REF!=#REF!,#REF!="NAN")),
   1,
   0))</f>
        <v>#REF!</v>
      </c>
      <c r="F199" t="s">
        <v>38</v>
      </c>
      <c r="G199" t="e">
        <f>IF(OR(#REF!="UP",#REF!="DOWN"),1,0)</f>
        <v>#REF!</v>
      </c>
      <c r="H199" t="e">
        <f>IF(OR(#REF!="UP",#REF!="DOWN"),1,0)</f>
        <v>#REF!</v>
      </c>
      <c r="I199" t="e">
        <f>IF(OR(#REF!="UP",#REF!="DOWN"),1,0)</f>
        <v>#REF!</v>
      </c>
      <c r="J199" t="s">
        <v>38</v>
      </c>
      <c r="K199" s="8"/>
      <c r="M199" t="e">
        <f>IF(OR(#REF!="UP",#REF!="DOWN"),0,1)</f>
        <v>#REF!</v>
      </c>
      <c r="N199" t="e">
        <f>IF(OR(#REF!="UP",#REF!="DOWN"),VLOOKUP($C199,Configuración!$H$2:$K$11,3),1)</f>
        <v>#REF!</v>
      </c>
      <c r="O199" t="e">
        <f>IF(OR(#REF!="UP",#REF!="DOWN"),VLOOKUP($C199,Configuración!$H$2:$K$11,4),1)</f>
        <v>#REF!</v>
      </c>
      <c r="P199" t="e">
        <f t="shared" si="33"/>
        <v>#REF!</v>
      </c>
      <c r="Q199" t="e">
        <f t="shared" si="34"/>
        <v>#REF!</v>
      </c>
      <c r="R199" t="e">
        <f t="shared" si="32"/>
        <v>#REF!</v>
      </c>
      <c r="T199" t="e">
        <f>IF(R199&lt;&gt;0,Configuración!$E$2,0)</f>
        <v>#REF!</v>
      </c>
      <c r="U199" t="e">
        <f>IF(R199&lt;&gt;0,Configuración!$F$2,0)</f>
        <v>#REF!</v>
      </c>
      <c r="V199" t="e">
        <f>IF(R199&lt;&gt;0,Configuración!$G$2,0)</f>
        <v>#REF!</v>
      </c>
      <c r="W199" t="e">
        <f t="shared" si="35"/>
        <v>#REF!</v>
      </c>
      <c r="X199" t="e">
        <f t="shared" si="36"/>
        <v>#REF!</v>
      </c>
      <c r="Z199" t="e">
        <f t="shared" si="37"/>
        <v>#REF!</v>
      </c>
      <c r="AB199" t="e">
        <f t="shared" si="38"/>
        <v>#REF!</v>
      </c>
      <c r="AG199" t="e">
        <f t="shared" si="39"/>
        <v>#REF!</v>
      </c>
      <c r="AH199" s="5" t="e">
        <f t="shared" si="40"/>
        <v>#REF!</v>
      </c>
      <c r="AI199" t="e">
        <f t="shared" si="41"/>
        <v>#REF!</v>
      </c>
    </row>
    <row r="200" spans="1:35" x14ac:dyDescent="0.55000000000000004">
      <c r="A200" s="3">
        <v>45950</v>
      </c>
      <c r="C200" t="s">
        <v>32</v>
      </c>
      <c r="D200" t="e">
        <f>IF(COUNTIF(#REF!,"&lt;&gt;NAN")=0, 0, IF(AND(OR(#REF!=#REF!,#REF!="NAN"), OR(#REF!=#REF!,#REF!="NAN"), OR(#REF!=#REF!,#REF!="NAN")),#REF!, 0))</f>
        <v>#REF!</v>
      </c>
      <c r="E200" t="e">
        <f>IF(#REF!="NAN","",IF(
   AND(OR(#REF!=#REF!,#REF!="NAN"),
     OR(#REF!=#REF!,#REF!="NAN"),
     OR(#REF!=#REF!,#REF!="NAN")),
   1,
   0))</f>
        <v>#REF!</v>
      </c>
      <c r="F200" t="s">
        <v>37</v>
      </c>
      <c r="G200" t="e">
        <f>IF(OR(#REF!="UP",#REF!="DOWN"),1,0)</f>
        <v>#REF!</v>
      </c>
      <c r="H200" t="e">
        <f>IF(OR(#REF!="UP",#REF!="DOWN"),1,0)</f>
        <v>#REF!</v>
      </c>
      <c r="I200" t="e">
        <f>IF(OR(#REF!="UP",#REF!="DOWN"),1,0)</f>
        <v>#REF!</v>
      </c>
      <c r="K200" s="7"/>
      <c r="M200" t="e">
        <f>IF(OR(#REF!="UP",#REF!="DOWN"),0,1)</f>
        <v>#REF!</v>
      </c>
      <c r="N200" t="e">
        <f>IF(OR(#REF!="UP",#REF!="DOWN"),VLOOKUP($C200,Configuración!$H$2:$K$11,3),1)</f>
        <v>#REF!</v>
      </c>
      <c r="O200" t="e">
        <f>IF(OR(#REF!="UP",#REF!="DOWN"),VLOOKUP($C200,Configuración!$H$2:$K$11,4),1)</f>
        <v>#REF!</v>
      </c>
      <c r="P200" t="e">
        <f t="shared" si="33"/>
        <v>#REF!</v>
      </c>
      <c r="Q200" t="e">
        <f t="shared" si="34"/>
        <v>#REF!</v>
      </c>
      <c r="R200" t="e">
        <f t="shared" si="32"/>
        <v>#REF!</v>
      </c>
      <c r="T200" t="e">
        <f>IF(R200&lt;&gt;0,Configuración!$E$2,0)</f>
        <v>#REF!</v>
      </c>
      <c r="U200" t="e">
        <f>IF(R200&lt;&gt;0,Configuración!$F$2,0)</f>
        <v>#REF!</v>
      </c>
      <c r="V200" t="e">
        <f>IF(R200&lt;&gt;0,Configuración!$G$2,0)</f>
        <v>#REF!</v>
      </c>
      <c r="W200" t="e">
        <f t="shared" si="35"/>
        <v>#REF!</v>
      </c>
      <c r="X200" t="e">
        <f t="shared" si="36"/>
        <v>#REF!</v>
      </c>
      <c r="Z200" t="e">
        <f t="shared" si="37"/>
        <v>#REF!</v>
      </c>
      <c r="AB200" t="e">
        <f t="shared" si="38"/>
        <v>#REF!</v>
      </c>
      <c r="AG200" t="e">
        <f t="shared" si="39"/>
        <v>#REF!</v>
      </c>
      <c r="AH200" s="5" t="e">
        <f t="shared" si="40"/>
        <v>#REF!</v>
      </c>
      <c r="AI200" t="e">
        <f t="shared" si="41"/>
        <v>#REF!</v>
      </c>
    </row>
    <row r="201" spans="1:35" x14ac:dyDescent="0.55000000000000004">
      <c r="C201" t="s">
        <v>26</v>
      </c>
      <c r="D201" t="e">
        <f>IF(COUNTIF(#REF!,"&lt;&gt;NAN")=0, 0, IF(AND(OR(#REF!=#REF!,#REF!="NAN"), OR(#REF!=#REF!,#REF!="NAN"), OR(#REF!=#REF!,#REF!="NAN")),#REF!, 0))</f>
        <v>#REF!</v>
      </c>
      <c r="E201" t="e">
        <f>IF(#REF!="NAN","",IF(
   AND(OR(#REF!=#REF!,#REF!="NAN"),
     OR(#REF!=#REF!,#REF!="NAN"),
     OR(#REF!=#REF!,#REF!="NAN")),
   1,
   0))</f>
        <v>#REF!</v>
      </c>
      <c r="F201" t="s">
        <v>37</v>
      </c>
      <c r="G201" t="e">
        <f>IF(OR(#REF!="UP",#REF!="DOWN"),1,0)</f>
        <v>#REF!</v>
      </c>
      <c r="H201" t="e">
        <f>IF(OR(#REF!="UP",#REF!="DOWN"),1,0)</f>
        <v>#REF!</v>
      </c>
      <c r="I201" t="e">
        <f>IF(OR(#REF!="UP",#REF!="DOWN"),1,0)</f>
        <v>#REF!</v>
      </c>
      <c r="K201" s="7">
        <v>3.45</v>
      </c>
      <c r="M201" t="e">
        <f>IF(OR(#REF!="UP",#REF!="DOWN"),0,1)</f>
        <v>#REF!</v>
      </c>
      <c r="N201" t="e">
        <f>IF(OR(#REF!="UP",#REF!="DOWN"),VLOOKUP($C201,Configuración!$H$2:$K$11,3),1)</f>
        <v>#REF!</v>
      </c>
      <c r="O201" t="e">
        <f>IF(OR(#REF!="UP",#REF!="DOWN"),VLOOKUP($C201,Configuración!$H$2:$K$11,4),1)</f>
        <v>#REF!</v>
      </c>
      <c r="P201" t="e">
        <f t="shared" si="33"/>
        <v>#REF!</v>
      </c>
      <c r="Q201" t="e">
        <f t="shared" si="34"/>
        <v>#REF!</v>
      </c>
      <c r="R201" t="e">
        <f t="shared" si="32"/>
        <v>#REF!</v>
      </c>
      <c r="T201" t="e">
        <f>IF(R201&lt;&gt;0,Configuración!$E$2,0)</f>
        <v>#REF!</v>
      </c>
      <c r="U201" t="e">
        <f>IF(R201&lt;&gt;0,Configuración!$F$2,0)</f>
        <v>#REF!</v>
      </c>
      <c r="V201" t="e">
        <f>IF(R201&lt;&gt;0,Configuración!$G$2,0)</f>
        <v>#REF!</v>
      </c>
      <c r="W201" t="e">
        <f t="shared" si="35"/>
        <v>#REF!</v>
      </c>
      <c r="X201" t="e">
        <f t="shared" si="36"/>
        <v>#REF!</v>
      </c>
      <c r="Z201" t="e">
        <f t="shared" si="37"/>
        <v>#REF!</v>
      </c>
      <c r="AB201" t="e">
        <f t="shared" si="38"/>
        <v>#REF!</v>
      </c>
      <c r="AG201" t="e">
        <f t="shared" si="39"/>
        <v>#REF!</v>
      </c>
      <c r="AH201" s="5" t="e">
        <f t="shared" si="40"/>
        <v>#REF!</v>
      </c>
      <c r="AI201" t="e">
        <f t="shared" si="41"/>
        <v>#REF!</v>
      </c>
    </row>
    <row r="202" spans="1:35" x14ac:dyDescent="0.55000000000000004">
      <c r="C202" t="s">
        <v>33</v>
      </c>
      <c r="D202" t="e">
        <f>IF(COUNTIF(#REF!,"&lt;&gt;NAN")=0, 0, IF(AND(OR(#REF!=#REF!,#REF!="NAN"), OR(#REF!=#REF!,#REF!="NAN"), OR(#REF!=#REF!,#REF!="NAN")),#REF!, 0))</f>
        <v>#REF!</v>
      </c>
      <c r="E202" t="e">
        <f>IF(#REF!="NAN","",IF(
   AND(OR(#REF!=#REF!,#REF!="NAN"),
     OR(#REF!=#REF!,#REF!="NAN"),
     OR(#REF!=#REF!,#REF!="NAN")),
   1,
   0))</f>
        <v>#REF!</v>
      </c>
      <c r="F202" t="s">
        <v>37</v>
      </c>
      <c r="G202" t="e">
        <f>IF(OR(#REF!="UP",#REF!="DOWN"),1,0)</f>
        <v>#REF!</v>
      </c>
      <c r="H202" t="e">
        <f>IF(OR(#REF!="UP",#REF!="DOWN"),1,0)</f>
        <v>#REF!</v>
      </c>
      <c r="I202" t="e">
        <f>IF(OR(#REF!="UP",#REF!="DOWN"),1,0)</f>
        <v>#REF!</v>
      </c>
      <c r="K202" s="7">
        <v>6.84</v>
      </c>
      <c r="M202" t="e">
        <f>IF(OR(#REF!="UP",#REF!="DOWN"),0,1)</f>
        <v>#REF!</v>
      </c>
      <c r="N202" t="e">
        <f>IF(OR(#REF!="UP",#REF!="DOWN"),VLOOKUP($C202,Configuración!$H$2:$K$11,3),1)</f>
        <v>#REF!</v>
      </c>
      <c r="O202" t="e">
        <f>IF(OR(#REF!="UP",#REF!="DOWN"),VLOOKUP($C202,Configuración!$H$2:$K$11,4),1)</f>
        <v>#REF!</v>
      </c>
      <c r="P202" t="e">
        <f t="shared" si="33"/>
        <v>#REF!</v>
      </c>
      <c r="Q202" t="e">
        <f t="shared" si="34"/>
        <v>#REF!</v>
      </c>
      <c r="R202" t="e">
        <f t="shared" si="32"/>
        <v>#REF!</v>
      </c>
      <c r="T202" t="e">
        <f>IF(R202&lt;&gt;0,Configuración!$E$2,0)</f>
        <v>#REF!</v>
      </c>
      <c r="U202" t="e">
        <f>IF(R202&lt;&gt;0,Configuración!$F$2,0)</f>
        <v>#REF!</v>
      </c>
      <c r="V202" t="e">
        <f>IF(R202&lt;&gt;0,Configuración!$G$2,0)</f>
        <v>#REF!</v>
      </c>
      <c r="W202" t="e">
        <f t="shared" si="35"/>
        <v>#REF!</v>
      </c>
      <c r="X202" t="e">
        <f t="shared" si="36"/>
        <v>#REF!</v>
      </c>
      <c r="Z202" t="e">
        <f t="shared" si="37"/>
        <v>#REF!</v>
      </c>
      <c r="AB202" t="e">
        <f t="shared" si="38"/>
        <v>#REF!</v>
      </c>
      <c r="AG202" t="e">
        <f t="shared" si="39"/>
        <v>#REF!</v>
      </c>
      <c r="AH202" s="5" t="e">
        <f t="shared" si="40"/>
        <v>#REF!</v>
      </c>
      <c r="AI202" t="e">
        <f t="shared" si="41"/>
        <v>#REF!</v>
      </c>
    </row>
    <row r="203" spans="1:35" x14ac:dyDescent="0.55000000000000004">
      <c r="C203" t="s">
        <v>35</v>
      </c>
      <c r="D203" t="e">
        <f>IF(COUNTIF(#REF!,"&lt;&gt;NAN")=0, 0, IF(AND(OR(#REF!=#REF!,#REF!="NAN"), OR(#REF!=#REF!,#REF!="NAN"), OR(#REF!=#REF!,#REF!="NAN")),#REF!, 0))</f>
        <v>#REF!</v>
      </c>
      <c r="E203" t="e">
        <f>IF(#REF!="NAN","",IF(
   AND(OR(#REF!=#REF!,#REF!="NAN"),
     OR(#REF!=#REF!,#REF!="NAN"),
     OR(#REF!=#REF!,#REF!="NAN")),
   1,
   0))</f>
        <v>#REF!</v>
      </c>
      <c r="F203" t="s">
        <v>37</v>
      </c>
      <c r="G203" t="e">
        <f>IF(OR(#REF!="UP",#REF!="DOWN"),1,0)</f>
        <v>#REF!</v>
      </c>
      <c r="H203" t="e">
        <f>IF(OR(#REF!="UP",#REF!="DOWN"),1,0)</f>
        <v>#REF!</v>
      </c>
      <c r="I203" t="e">
        <f>IF(OR(#REF!="UP",#REF!="DOWN"),1,0)</f>
        <v>#REF!</v>
      </c>
      <c r="K203" s="7"/>
      <c r="M203" t="e">
        <f>IF(OR(#REF!="UP",#REF!="DOWN"),0,1)</f>
        <v>#REF!</v>
      </c>
      <c r="N203" t="e">
        <f>IF(OR(#REF!="UP",#REF!="DOWN"),VLOOKUP($C203,Configuración!$H$2:$K$11,3),1)</f>
        <v>#REF!</v>
      </c>
      <c r="O203" t="e">
        <f>IF(OR(#REF!="UP",#REF!="DOWN"),VLOOKUP($C203,Configuración!$H$2:$K$11,4),1)</f>
        <v>#REF!</v>
      </c>
      <c r="P203" t="e">
        <f t="shared" si="33"/>
        <v>#REF!</v>
      </c>
      <c r="Q203" t="e">
        <f t="shared" si="34"/>
        <v>#REF!</v>
      </c>
      <c r="R203" t="e">
        <f t="shared" si="32"/>
        <v>#REF!</v>
      </c>
      <c r="T203" t="e">
        <f>IF(R203&lt;&gt;0,Configuración!$E$2,0)</f>
        <v>#REF!</v>
      </c>
      <c r="U203" t="e">
        <f>IF(R203&lt;&gt;0,Configuración!$F$2,0)</f>
        <v>#REF!</v>
      </c>
      <c r="V203" t="e">
        <f>IF(R203&lt;&gt;0,Configuración!$G$2,0)</f>
        <v>#REF!</v>
      </c>
      <c r="W203" t="e">
        <f t="shared" si="35"/>
        <v>#REF!</v>
      </c>
      <c r="X203" t="e">
        <f t="shared" si="36"/>
        <v>#REF!</v>
      </c>
      <c r="Z203" t="e">
        <f t="shared" si="37"/>
        <v>#REF!</v>
      </c>
      <c r="AB203" t="e">
        <f t="shared" si="38"/>
        <v>#REF!</v>
      </c>
      <c r="AG203" t="e">
        <f t="shared" si="39"/>
        <v>#REF!</v>
      </c>
      <c r="AH203" s="5" t="e">
        <f t="shared" si="40"/>
        <v>#REF!</v>
      </c>
      <c r="AI203" t="e">
        <f t="shared" si="41"/>
        <v>#REF!</v>
      </c>
    </row>
    <row r="204" spans="1:35" x14ac:dyDescent="0.55000000000000004">
      <c r="C204" t="s">
        <v>34</v>
      </c>
      <c r="D204" t="e">
        <f>IF(COUNTIF(#REF!,"&lt;&gt;NAN")=0, 0, IF(AND(OR(#REF!=#REF!,#REF!="NAN"), OR(#REF!=#REF!,#REF!="NAN"), OR(#REF!=#REF!,#REF!="NAN")),#REF!, 0))</f>
        <v>#REF!</v>
      </c>
      <c r="E204" t="e">
        <f>IF(#REF!="NAN","",IF(
   AND(OR(#REF!=#REF!,#REF!="NAN"),
     OR(#REF!=#REF!,#REF!="NAN"),
     OR(#REF!=#REF!,#REF!="NAN")),
   1,
   0))</f>
        <v>#REF!</v>
      </c>
      <c r="F204" t="s">
        <v>38</v>
      </c>
      <c r="G204" t="e">
        <f>IF(OR(#REF!="UP",#REF!="DOWN"),1,0)</f>
        <v>#REF!</v>
      </c>
      <c r="H204" t="e">
        <f>IF(OR(#REF!="UP",#REF!="DOWN"),1,0)</f>
        <v>#REF!</v>
      </c>
      <c r="I204" t="e">
        <f>IF(OR(#REF!="UP",#REF!="DOWN"),1,0)</f>
        <v>#REF!</v>
      </c>
      <c r="K204" s="7"/>
      <c r="M204" t="e">
        <f>IF(OR(#REF!="UP",#REF!="DOWN"),0,1)</f>
        <v>#REF!</v>
      </c>
      <c r="N204" t="e">
        <f>IF(OR(#REF!="UP",#REF!="DOWN"),VLOOKUP($C204,Configuración!$H$2:$K$11,3),1)</f>
        <v>#REF!</v>
      </c>
      <c r="O204" t="e">
        <f>IF(OR(#REF!="UP",#REF!="DOWN"),VLOOKUP($C204,Configuración!$H$2:$K$11,4),1)</f>
        <v>#REF!</v>
      </c>
      <c r="P204" t="e">
        <f t="shared" si="33"/>
        <v>#REF!</v>
      </c>
      <c r="Q204" t="e">
        <f t="shared" si="34"/>
        <v>#REF!</v>
      </c>
      <c r="R204" t="e">
        <f t="shared" si="32"/>
        <v>#REF!</v>
      </c>
      <c r="T204" t="e">
        <f>IF(R204&lt;&gt;0,Configuración!$E$2,0)</f>
        <v>#REF!</v>
      </c>
      <c r="U204" t="e">
        <f>IF(R204&lt;&gt;0,Configuración!$F$2,0)</f>
        <v>#REF!</v>
      </c>
      <c r="V204" t="e">
        <f>IF(R204&lt;&gt;0,Configuración!$G$2,0)</f>
        <v>#REF!</v>
      </c>
      <c r="W204" t="e">
        <f t="shared" si="35"/>
        <v>#REF!</v>
      </c>
      <c r="X204" t="e">
        <f t="shared" si="36"/>
        <v>#REF!</v>
      </c>
      <c r="Z204" t="e">
        <f t="shared" si="37"/>
        <v>#REF!</v>
      </c>
      <c r="AB204" t="e">
        <f t="shared" si="38"/>
        <v>#REF!</v>
      </c>
      <c r="AG204" t="e">
        <f t="shared" si="39"/>
        <v>#REF!</v>
      </c>
      <c r="AH204" s="5" t="e">
        <f t="shared" si="40"/>
        <v>#REF!</v>
      </c>
      <c r="AI204" t="e">
        <f t="shared" si="41"/>
        <v>#REF!</v>
      </c>
    </row>
    <row r="205" spans="1:35" x14ac:dyDescent="0.55000000000000004">
      <c r="C205" t="s">
        <v>27</v>
      </c>
      <c r="D205" t="e">
        <f>IF(COUNTIF(#REF!,"&lt;&gt;NAN")=0, 0, IF(AND(OR(#REF!=#REF!,#REF!="NAN"), OR(#REF!=#REF!,#REF!="NAN"), OR(#REF!=#REF!,#REF!="NAN")),#REF!, 0))</f>
        <v>#REF!</v>
      </c>
      <c r="E205" t="e">
        <f>IF(#REF!="NAN","",IF(
   AND(OR(#REF!=#REF!,#REF!="NAN"),
     OR(#REF!=#REF!,#REF!="NAN"),
     OR(#REF!=#REF!,#REF!="NAN")),
   1,
   0))</f>
        <v>#REF!</v>
      </c>
      <c r="F205" t="s">
        <v>51</v>
      </c>
      <c r="G205" t="e">
        <f>IF(OR(#REF!="UP",#REF!="DOWN"),1,0)</f>
        <v>#REF!</v>
      </c>
      <c r="H205" t="e">
        <f>IF(OR(#REF!="UP",#REF!="DOWN"),1,0)</f>
        <v>#REF!</v>
      </c>
      <c r="I205" t="e">
        <f>IF(OR(#REF!="UP",#REF!="DOWN"),1,0)</f>
        <v>#REF!</v>
      </c>
      <c r="K205" s="7"/>
      <c r="M205" t="e">
        <f>IF(OR(#REF!="UP",#REF!="DOWN"),0,1)</f>
        <v>#REF!</v>
      </c>
      <c r="N205" t="e">
        <f>IF(OR(#REF!="UP",#REF!="DOWN"),VLOOKUP($C205,Configuración!$H$2:$K$11,3),1)</f>
        <v>#REF!</v>
      </c>
      <c r="O205" t="e">
        <f>IF(OR(#REF!="UP",#REF!="DOWN"),VLOOKUP($C205,Configuración!$H$2:$K$11,4),1)</f>
        <v>#REF!</v>
      </c>
      <c r="P205" t="e">
        <f t="shared" si="33"/>
        <v>#REF!</v>
      </c>
      <c r="Q205" t="e">
        <f t="shared" si="34"/>
        <v>#REF!</v>
      </c>
      <c r="R205" t="e">
        <f t="shared" si="32"/>
        <v>#REF!</v>
      </c>
      <c r="T205" t="e">
        <f>IF(R205&lt;&gt;0,Configuración!$E$2,0)</f>
        <v>#REF!</v>
      </c>
      <c r="U205" t="e">
        <f>IF(R205&lt;&gt;0,Configuración!$F$2,0)</f>
        <v>#REF!</v>
      </c>
      <c r="V205" t="e">
        <f>IF(R205&lt;&gt;0,Configuración!$G$2,0)</f>
        <v>#REF!</v>
      </c>
      <c r="W205" t="e">
        <f t="shared" si="35"/>
        <v>#REF!</v>
      </c>
      <c r="X205" t="e">
        <f t="shared" si="36"/>
        <v>#REF!</v>
      </c>
      <c r="Z205" t="e">
        <f t="shared" si="37"/>
        <v>#REF!</v>
      </c>
      <c r="AB205" t="e">
        <f t="shared" si="38"/>
        <v>#REF!</v>
      </c>
      <c r="AG205" t="e">
        <f t="shared" si="39"/>
        <v>#REF!</v>
      </c>
      <c r="AH205" s="5" t="e">
        <f t="shared" si="40"/>
        <v>#REF!</v>
      </c>
      <c r="AI205" t="e">
        <f t="shared" si="41"/>
        <v>#REF!</v>
      </c>
    </row>
    <row r="206" spans="1:35" x14ac:dyDescent="0.55000000000000004">
      <c r="C206" t="s">
        <v>28</v>
      </c>
      <c r="D206" t="e">
        <f>IF(COUNTIF(#REF!,"&lt;&gt;NAN")=0, 0, IF(AND(OR(#REF!=#REF!,#REF!="NAN"), OR(#REF!=#REF!,#REF!="NAN"), OR(#REF!=#REF!,#REF!="NAN")),#REF!, 0))</f>
        <v>#REF!</v>
      </c>
      <c r="E206" t="e">
        <f>IF(#REF!="NAN","",IF(
   AND(OR(#REF!=#REF!,#REF!="NAN"),
     OR(#REF!=#REF!,#REF!="NAN"),
     OR(#REF!=#REF!,#REF!="NAN")),
   1,
   0))</f>
        <v>#REF!</v>
      </c>
      <c r="F206" t="s">
        <v>38</v>
      </c>
      <c r="G206" t="e">
        <f>IF(OR(#REF!="UP",#REF!="DOWN"),1,0)</f>
        <v>#REF!</v>
      </c>
      <c r="H206" t="e">
        <f>IF(OR(#REF!="UP",#REF!="DOWN"),1,0)</f>
        <v>#REF!</v>
      </c>
      <c r="I206" t="e">
        <f>IF(OR(#REF!="UP",#REF!="DOWN"),1,0)</f>
        <v>#REF!</v>
      </c>
      <c r="K206" s="7">
        <v>2.23</v>
      </c>
      <c r="M206" t="e">
        <f>IF(OR(#REF!="UP",#REF!="DOWN"),0,1)</f>
        <v>#REF!</v>
      </c>
      <c r="N206" t="e">
        <f>IF(OR(#REF!="UP",#REF!="DOWN"),VLOOKUP($C206,Configuración!$H$2:$K$11,3),1)</f>
        <v>#REF!</v>
      </c>
      <c r="O206" t="e">
        <f>IF(OR(#REF!="UP",#REF!="DOWN"),VLOOKUP($C206,Configuración!$H$2:$K$11,4),1)</f>
        <v>#REF!</v>
      </c>
      <c r="P206" t="e">
        <f t="shared" si="33"/>
        <v>#REF!</v>
      </c>
      <c r="Q206" t="e">
        <f t="shared" si="34"/>
        <v>#REF!</v>
      </c>
      <c r="R206" t="e">
        <f t="shared" si="32"/>
        <v>#REF!</v>
      </c>
      <c r="T206" t="e">
        <f>IF(R206&lt;&gt;0,Configuración!$E$2,0)</f>
        <v>#REF!</v>
      </c>
      <c r="U206" t="e">
        <f>IF(R206&lt;&gt;0,Configuración!$F$2,0)</f>
        <v>#REF!</v>
      </c>
      <c r="V206" t="e">
        <f>IF(R206&lt;&gt;0,Configuración!$G$2,0)</f>
        <v>#REF!</v>
      </c>
      <c r="W206" t="e">
        <f t="shared" si="35"/>
        <v>#REF!</v>
      </c>
      <c r="X206" t="e">
        <f t="shared" si="36"/>
        <v>#REF!</v>
      </c>
      <c r="Z206" t="e">
        <f t="shared" si="37"/>
        <v>#REF!</v>
      </c>
      <c r="AB206" t="e">
        <f t="shared" si="38"/>
        <v>#REF!</v>
      </c>
      <c r="AG206" t="e">
        <f t="shared" si="39"/>
        <v>#REF!</v>
      </c>
      <c r="AH206" s="5" t="e">
        <f t="shared" si="40"/>
        <v>#REF!</v>
      </c>
      <c r="AI206" t="e">
        <f t="shared" si="41"/>
        <v>#REF!</v>
      </c>
    </row>
    <row r="207" spans="1:35" x14ac:dyDescent="0.55000000000000004">
      <c r="C207" t="s">
        <v>30</v>
      </c>
      <c r="D207" t="e">
        <f>IF(COUNTIF(#REF!,"&lt;&gt;NAN")=0, 0, IF(AND(OR(#REF!=#REF!,#REF!="NAN"), OR(#REF!=#REF!,#REF!="NAN"), OR(#REF!=#REF!,#REF!="NAN")),#REF!, 0))</f>
        <v>#REF!</v>
      </c>
      <c r="E207" t="e">
        <f>IF(#REF!="NAN","",IF(
   AND(OR(#REF!=#REF!,#REF!="NAN"),
     OR(#REF!=#REF!,#REF!="NAN"),
     OR(#REF!=#REF!,#REF!="NAN")),
   1,
   0))</f>
        <v>#REF!</v>
      </c>
      <c r="F207" t="s">
        <v>51</v>
      </c>
      <c r="G207" t="e">
        <f>IF(OR(#REF!="UP",#REF!="DOWN"),1,0)</f>
        <v>#REF!</v>
      </c>
      <c r="H207" t="e">
        <f>IF(OR(#REF!="UP",#REF!="DOWN"),1,0)</f>
        <v>#REF!</v>
      </c>
      <c r="I207" t="e">
        <f>IF(OR(#REF!="UP",#REF!="DOWN"),1,0)</f>
        <v>#REF!</v>
      </c>
      <c r="M207" t="e">
        <f>IF(OR(#REF!="UP",#REF!="DOWN"),0,1)</f>
        <v>#REF!</v>
      </c>
      <c r="N207" t="e">
        <f>IF(OR(#REF!="UP",#REF!="DOWN"),VLOOKUP($C207,Configuración!$H$2:$K$11,3),1)</f>
        <v>#REF!</v>
      </c>
      <c r="O207" t="e">
        <f>IF(OR(#REF!="UP",#REF!="DOWN"),VLOOKUP($C207,Configuración!$H$2:$K$11,4),1)</f>
        <v>#REF!</v>
      </c>
      <c r="P207" t="e">
        <f t="shared" si="33"/>
        <v>#REF!</v>
      </c>
      <c r="Q207" t="e">
        <f t="shared" si="34"/>
        <v>#REF!</v>
      </c>
      <c r="R207" t="e">
        <f t="shared" si="32"/>
        <v>#REF!</v>
      </c>
      <c r="T207" t="e">
        <f>IF(R207&lt;&gt;0,Configuración!$E$2,0)</f>
        <v>#REF!</v>
      </c>
      <c r="U207" t="e">
        <f>IF(R207&lt;&gt;0,Configuración!$F$2,0)</f>
        <v>#REF!</v>
      </c>
      <c r="V207" t="e">
        <f>IF(R207&lt;&gt;0,Configuración!$G$2,0)</f>
        <v>#REF!</v>
      </c>
      <c r="W207" t="e">
        <f t="shared" si="35"/>
        <v>#REF!</v>
      </c>
      <c r="X207" t="e">
        <f t="shared" si="36"/>
        <v>#REF!</v>
      </c>
      <c r="Z207" t="e">
        <f t="shared" si="37"/>
        <v>#REF!</v>
      </c>
      <c r="AB207" t="e">
        <f t="shared" si="38"/>
        <v>#REF!</v>
      </c>
      <c r="AG207" t="e">
        <f t="shared" si="39"/>
        <v>#REF!</v>
      </c>
      <c r="AH207" s="5" t="e">
        <f t="shared" si="40"/>
        <v>#REF!</v>
      </c>
      <c r="AI207" t="e">
        <f t="shared" si="41"/>
        <v>#REF!</v>
      </c>
    </row>
    <row r="208" spans="1:35" x14ac:dyDescent="0.55000000000000004">
      <c r="C208" t="s">
        <v>29</v>
      </c>
      <c r="D208" t="e">
        <f>IF(COUNTIF(#REF!,"&lt;&gt;NAN")=0, 0, IF(AND(OR(#REF!=#REF!,#REF!="NAN"), OR(#REF!=#REF!,#REF!="NAN"), OR(#REF!=#REF!,#REF!="NAN")),#REF!, 0))</f>
        <v>#REF!</v>
      </c>
      <c r="E208" t="e">
        <f>IF(#REF!="NAN","",IF(
   AND(OR(#REF!=#REF!,#REF!="NAN"),
     OR(#REF!=#REF!,#REF!="NAN"),
     OR(#REF!=#REF!,#REF!="NAN")),
   1,
   0))</f>
        <v>#REF!</v>
      </c>
      <c r="F208" t="s">
        <v>37</v>
      </c>
      <c r="G208" t="e">
        <f>IF(OR(#REF!="UP",#REF!="DOWN"),1,0)</f>
        <v>#REF!</v>
      </c>
      <c r="H208" t="e">
        <f>IF(OR(#REF!="UP",#REF!="DOWN"),1,0)</f>
        <v>#REF!</v>
      </c>
      <c r="I208" t="e">
        <f>IF(OR(#REF!="UP",#REF!="DOWN"),1,0)</f>
        <v>#REF!</v>
      </c>
      <c r="K208" s="7">
        <v>6.49</v>
      </c>
      <c r="M208" t="e">
        <f>IF(OR(#REF!="UP",#REF!="DOWN"),0,1)</f>
        <v>#REF!</v>
      </c>
      <c r="N208" t="e">
        <f>IF(OR(#REF!="UP",#REF!="DOWN"),VLOOKUP($C208,Configuración!$H$2:$K$11,3),1)</f>
        <v>#REF!</v>
      </c>
      <c r="O208" t="e">
        <f>IF(OR(#REF!="UP",#REF!="DOWN"),VLOOKUP($C208,Configuración!$H$2:$K$11,4),1)</f>
        <v>#REF!</v>
      </c>
      <c r="P208" t="e">
        <f t="shared" si="33"/>
        <v>#REF!</v>
      </c>
      <c r="Q208" t="e">
        <f t="shared" si="34"/>
        <v>#REF!</v>
      </c>
      <c r="R208" t="e">
        <f t="shared" si="32"/>
        <v>#REF!</v>
      </c>
      <c r="T208" t="e">
        <f>IF(R208&lt;&gt;0,Configuración!$E$2,0)</f>
        <v>#REF!</v>
      </c>
      <c r="U208" t="e">
        <f>IF(R208&lt;&gt;0,Configuración!$F$2,0)</f>
        <v>#REF!</v>
      </c>
      <c r="V208" t="e">
        <f>IF(R208&lt;&gt;0,Configuración!$G$2,0)</f>
        <v>#REF!</v>
      </c>
      <c r="W208" t="e">
        <f t="shared" si="35"/>
        <v>#REF!</v>
      </c>
      <c r="X208" t="e">
        <f t="shared" si="36"/>
        <v>#REF!</v>
      </c>
      <c r="Z208" t="e">
        <f t="shared" si="37"/>
        <v>#REF!</v>
      </c>
      <c r="AB208" t="e">
        <f t="shared" si="38"/>
        <v>#REF!</v>
      </c>
      <c r="AG208" t="e">
        <f t="shared" si="39"/>
        <v>#REF!</v>
      </c>
      <c r="AH208" s="5" t="e">
        <f t="shared" si="40"/>
        <v>#REF!</v>
      </c>
      <c r="AI208" t="e">
        <f t="shared" si="41"/>
        <v>#REF!</v>
      </c>
    </row>
    <row r="209" spans="1:35" x14ac:dyDescent="0.55000000000000004">
      <c r="C209" t="s">
        <v>31</v>
      </c>
      <c r="D209" t="e">
        <f>IF(COUNTIF(#REF!,"&lt;&gt;NAN")=0, 0, IF(AND(OR(#REF!=#REF!,#REF!="NAN"), OR(#REF!=#REF!,#REF!="NAN"), OR(#REF!=#REF!,#REF!="NAN")),#REF!, 0))</f>
        <v>#REF!</v>
      </c>
      <c r="E209" t="e">
        <f>IF(#REF!="NAN","",IF(
   AND(OR(#REF!=#REF!,#REF!="NAN"),
     OR(#REF!=#REF!,#REF!="NAN"),
     OR(#REF!=#REF!,#REF!="NAN")),
   1,
   0))</f>
        <v>#REF!</v>
      </c>
      <c r="F209" t="s">
        <v>37</v>
      </c>
      <c r="G209" t="e">
        <f>IF(OR(#REF!="UP",#REF!="DOWN"),1,0)</f>
        <v>#REF!</v>
      </c>
      <c r="H209" t="e">
        <f>IF(OR(#REF!="UP",#REF!="DOWN"),1,0)</f>
        <v>#REF!</v>
      </c>
      <c r="I209" t="e">
        <f>IF(OR(#REF!="UP",#REF!="DOWN"),1,0)</f>
        <v>#REF!</v>
      </c>
      <c r="K209" s="7"/>
      <c r="M209" t="e">
        <f>IF(OR(#REF!="UP",#REF!="DOWN"),0,1)</f>
        <v>#REF!</v>
      </c>
      <c r="N209" t="e">
        <f>IF(OR(#REF!="UP",#REF!="DOWN"),VLOOKUP($C209,Configuración!$H$2:$K$11,3),1)</f>
        <v>#REF!</v>
      </c>
      <c r="O209" t="e">
        <f>IF(OR(#REF!="UP",#REF!="DOWN"),VLOOKUP($C209,Configuración!$H$2:$K$11,4),1)</f>
        <v>#REF!</v>
      </c>
      <c r="P209" t="e">
        <f t="shared" si="33"/>
        <v>#REF!</v>
      </c>
      <c r="Q209" t="e">
        <f t="shared" si="34"/>
        <v>#REF!</v>
      </c>
      <c r="R209" t="e">
        <f t="shared" si="32"/>
        <v>#REF!</v>
      </c>
      <c r="T209" t="e">
        <f>IF(R209&lt;&gt;0,Configuración!$E$2,0)</f>
        <v>#REF!</v>
      </c>
      <c r="U209" t="e">
        <f>IF(R209&lt;&gt;0,Configuración!$F$2,0)</f>
        <v>#REF!</v>
      </c>
      <c r="V209" t="e">
        <f>IF(R209&lt;&gt;0,Configuración!$G$2,0)</f>
        <v>#REF!</v>
      </c>
      <c r="W209" t="e">
        <f t="shared" si="35"/>
        <v>#REF!</v>
      </c>
      <c r="X209" t="e">
        <f t="shared" si="36"/>
        <v>#REF!</v>
      </c>
      <c r="Z209" t="e">
        <f t="shared" si="37"/>
        <v>#REF!</v>
      </c>
      <c r="AB209" t="e">
        <f t="shared" si="38"/>
        <v>#REF!</v>
      </c>
      <c r="AG209" t="e">
        <f t="shared" si="39"/>
        <v>#REF!</v>
      </c>
      <c r="AH209" s="5" t="e">
        <f t="shared" si="40"/>
        <v>#REF!</v>
      </c>
      <c r="AI209" t="e">
        <f t="shared" si="41"/>
        <v>#REF!</v>
      </c>
    </row>
    <row r="210" spans="1:35" x14ac:dyDescent="0.55000000000000004">
      <c r="A210" s="3">
        <v>45953</v>
      </c>
      <c r="C210" t="s">
        <v>32</v>
      </c>
      <c r="D210" t="e">
        <f>IF(COUNTIF(#REF!,"&lt;&gt;NAN")=0, 0, IF(AND(OR(#REF!=#REF!,#REF!="NAN"), OR(#REF!=#REF!,#REF!="NAN"), OR(#REF!=#REF!,#REF!="NAN")),#REF!, 0))</f>
        <v>#REF!</v>
      </c>
      <c r="E210" t="e">
        <f>IF(#REF!="NAN","",IF(
   AND(OR(#REF!=#REF!,#REF!="NAN"),
     OR(#REF!=#REF!,#REF!="NAN"),
     OR(#REF!=#REF!,#REF!="NAN")),
   1,
   0))</f>
        <v>#REF!</v>
      </c>
      <c r="F210" t="s">
        <v>51</v>
      </c>
      <c r="G210" t="e">
        <f>IF(OR(#REF!="UP",#REF!="DOWN"),1,0)</f>
        <v>#REF!</v>
      </c>
      <c r="H210" t="e">
        <f>IF(OR(#REF!="UP",#REF!="DOWN"),1,0)</f>
        <v>#REF!</v>
      </c>
      <c r="I210" t="e">
        <f>IF(OR(#REF!="UP",#REF!="DOWN"),1,0)</f>
        <v>#REF!</v>
      </c>
      <c r="K210" s="7"/>
      <c r="M210" t="e">
        <f>IF(OR(#REF!="UP",#REF!="DOWN"),0,1)</f>
        <v>#REF!</v>
      </c>
      <c r="N210" t="e">
        <f>IF(OR(#REF!="UP",#REF!="DOWN"),VLOOKUP($C210,Configuración!$H$2:$K$11,3),1)</f>
        <v>#REF!</v>
      </c>
      <c r="O210" t="e">
        <f>IF(OR(#REF!="UP",#REF!="DOWN"),VLOOKUP($C210,Configuración!$H$2:$K$11,4),1)</f>
        <v>#REF!</v>
      </c>
      <c r="P210" t="e">
        <f t="shared" si="33"/>
        <v>#REF!</v>
      </c>
      <c r="Q210" t="e">
        <f t="shared" si="34"/>
        <v>#REF!</v>
      </c>
      <c r="R210" t="e">
        <f t="shared" si="32"/>
        <v>#REF!</v>
      </c>
      <c r="T210" t="e">
        <f>IF(R210&lt;&gt;0,Configuración!$E$2,0)</f>
        <v>#REF!</v>
      </c>
      <c r="U210" t="e">
        <f>IF(R210&lt;&gt;0,Configuración!$F$2,0)</f>
        <v>#REF!</v>
      </c>
      <c r="V210" t="e">
        <f>IF(R210&lt;&gt;0,Configuración!$G$2,0)</f>
        <v>#REF!</v>
      </c>
      <c r="W210" t="e">
        <f t="shared" si="35"/>
        <v>#REF!</v>
      </c>
      <c r="X210" t="e">
        <f t="shared" si="36"/>
        <v>#REF!</v>
      </c>
      <c r="Z210" t="e">
        <f t="shared" si="37"/>
        <v>#REF!</v>
      </c>
      <c r="AB210" t="e">
        <f t="shared" si="38"/>
        <v>#REF!</v>
      </c>
      <c r="AG210" t="e">
        <f t="shared" si="39"/>
        <v>#REF!</v>
      </c>
      <c r="AH210" s="5" t="e">
        <f t="shared" si="40"/>
        <v>#REF!</v>
      </c>
      <c r="AI210" t="e">
        <f t="shared" si="41"/>
        <v>#REF!</v>
      </c>
    </row>
    <row r="211" spans="1:35" x14ac:dyDescent="0.55000000000000004">
      <c r="C211" t="s">
        <v>26</v>
      </c>
      <c r="D211" t="e">
        <f>IF(COUNTIF(#REF!,"&lt;&gt;NAN")=0, 0, IF(AND(OR(#REF!=#REF!,#REF!="NAN"), OR(#REF!=#REF!,#REF!="NAN"), OR(#REF!=#REF!,#REF!="NAN")),#REF!, 0))</f>
        <v>#REF!</v>
      </c>
      <c r="E211" t="e">
        <f>IF(#REF!="NAN","",IF(
   AND(OR(#REF!=#REF!,#REF!="NAN"),
     OR(#REF!=#REF!,#REF!="NAN"),
     OR(#REF!=#REF!,#REF!="NAN")),
   1,
   0))</f>
        <v>#REF!</v>
      </c>
      <c r="F211" t="s">
        <v>51</v>
      </c>
      <c r="G211" t="e">
        <f>IF(OR(#REF!="UP",#REF!="DOWN"),1,0)</f>
        <v>#REF!</v>
      </c>
      <c r="H211" t="e">
        <f>IF(OR(#REF!="UP",#REF!="DOWN"),1,0)</f>
        <v>#REF!</v>
      </c>
      <c r="I211" t="e">
        <f>IF(OR(#REF!="UP",#REF!="DOWN"),1,0)</f>
        <v>#REF!</v>
      </c>
      <c r="K211" s="7"/>
      <c r="M211" t="e">
        <f>IF(OR(#REF!="UP",#REF!="DOWN"),0,1)</f>
        <v>#REF!</v>
      </c>
      <c r="N211" t="e">
        <f>IF(OR(#REF!="UP",#REF!="DOWN"),VLOOKUP($C211,Configuración!$H$2:$K$11,3),1)</f>
        <v>#REF!</v>
      </c>
      <c r="O211" t="e">
        <f>IF(OR(#REF!="UP",#REF!="DOWN"),VLOOKUP($C211,Configuración!$H$2:$K$11,4),1)</f>
        <v>#REF!</v>
      </c>
      <c r="P211" t="e">
        <f t="shared" si="33"/>
        <v>#REF!</v>
      </c>
      <c r="Q211" t="e">
        <f t="shared" si="34"/>
        <v>#REF!</v>
      </c>
      <c r="R211" t="e">
        <f t="shared" si="32"/>
        <v>#REF!</v>
      </c>
      <c r="T211" t="e">
        <f>IF(R211&lt;&gt;0,Configuración!$E$2,0)</f>
        <v>#REF!</v>
      </c>
      <c r="U211" t="e">
        <f>IF(R211&lt;&gt;0,Configuración!$F$2,0)</f>
        <v>#REF!</v>
      </c>
      <c r="V211" t="e">
        <f>IF(R211&lt;&gt;0,Configuración!$G$2,0)</f>
        <v>#REF!</v>
      </c>
      <c r="W211" t="e">
        <f t="shared" si="35"/>
        <v>#REF!</v>
      </c>
      <c r="X211" t="e">
        <f t="shared" si="36"/>
        <v>#REF!</v>
      </c>
      <c r="Z211" t="e">
        <f t="shared" si="37"/>
        <v>#REF!</v>
      </c>
      <c r="AB211" t="e">
        <f t="shared" si="38"/>
        <v>#REF!</v>
      </c>
      <c r="AG211" t="e">
        <f t="shared" si="39"/>
        <v>#REF!</v>
      </c>
      <c r="AH211" s="5" t="e">
        <f t="shared" si="40"/>
        <v>#REF!</v>
      </c>
      <c r="AI211" t="e">
        <f t="shared" si="41"/>
        <v>#REF!</v>
      </c>
    </row>
    <row r="212" spans="1:35" x14ac:dyDescent="0.55000000000000004">
      <c r="C212" t="s">
        <v>33</v>
      </c>
      <c r="D212" t="e">
        <f>IF(COUNTIF(#REF!,"&lt;&gt;NAN")=0, 0, IF(AND(OR(#REF!=#REF!,#REF!="NAN"), OR(#REF!=#REF!,#REF!="NAN"), OR(#REF!=#REF!,#REF!="NAN")),#REF!, 0))</f>
        <v>#REF!</v>
      </c>
      <c r="E212" t="e">
        <f>IF(#REF!="NAN","",IF(
   AND(OR(#REF!=#REF!,#REF!="NAN"),
     OR(#REF!=#REF!,#REF!="NAN"),
     OR(#REF!=#REF!,#REF!="NAN")),
   1,
   0))</f>
        <v>#REF!</v>
      </c>
      <c r="F212" t="s">
        <v>37</v>
      </c>
      <c r="G212" t="e">
        <f>IF(OR(#REF!="UP",#REF!="DOWN"),1,0)</f>
        <v>#REF!</v>
      </c>
      <c r="H212" t="e">
        <f>IF(OR(#REF!="UP",#REF!="DOWN"),1,0)</f>
        <v>#REF!</v>
      </c>
      <c r="I212" t="e">
        <f>IF(OR(#REF!="UP",#REF!="DOWN"),1,0)</f>
        <v>#REF!</v>
      </c>
      <c r="K212" s="7"/>
      <c r="M212" t="e">
        <f>IF(OR(#REF!="UP",#REF!="DOWN"),0,1)</f>
        <v>#REF!</v>
      </c>
      <c r="N212" t="e">
        <f>IF(OR(#REF!="UP",#REF!="DOWN"),VLOOKUP($C212,Configuración!$H$2:$K$11,3),1)</f>
        <v>#REF!</v>
      </c>
      <c r="O212" t="e">
        <f>IF(OR(#REF!="UP",#REF!="DOWN"),VLOOKUP($C212,Configuración!$H$2:$K$11,4),1)</f>
        <v>#REF!</v>
      </c>
      <c r="P212" t="e">
        <f t="shared" si="33"/>
        <v>#REF!</v>
      </c>
      <c r="Q212" t="e">
        <f t="shared" si="34"/>
        <v>#REF!</v>
      </c>
      <c r="R212" t="e">
        <f t="shared" si="32"/>
        <v>#REF!</v>
      </c>
      <c r="T212" t="e">
        <f>IF(R212&lt;&gt;0,Configuración!$E$2,0)</f>
        <v>#REF!</v>
      </c>
      <c r="U212" t="e">
        <f>IF(R212&lt;&gt;0,Configuración!$F$2,0)</f>
        <v>#REF!</v>
      </c>
      <c r="V212" t="e">
        <f>IF(R212&lt;&gt;0,Configuración!$G$2,0)</f>
        <v>#REF!</v>
      </c>
      <c r="W212" t="e">
        <f t="shared" si="35"/>
        <v>#REF!</v>
      </c>
      <c r="X212" t="e">
        <f t="shared" si="36"/>
        <v>#REF!</v>
      </c>
      <c r="Z212" t="e">
        <f t="shared" si="37"/>
        <v>#REF!</v>
      </c>
      <c r="AB212" t="e">
        <f t="shared" si="38"/>
        <v>#REF!</v>
      </c>
      <c r="AG212" t="e">
        <f t="shared" si="39"/>
        <v>#REF!</v>
      </c>
      <c r="AH212" s="5" t="e">
        <f t="shared" si="40"/>
        <v>#REF!</v>
      </c>
      <c r="AI212" t="e">
        <f t="shared" si="41"/>
        <v>#REF!</v>
      </c>
    </row>
    <row r="213" spans="1:35" x14ac:dyDescent="0.55000000000000004">
      <c r="C213" t="s">
        <v>35</v>
      </c>
      <c r="D213" t="e">
        <f>IF(COUNTIF(#REF!,"&lt;&gt;NAN")=0, 0, IF(AND(OR(#REF!=#REF!,#REF!="NAN"), OR(#REF!=#REF!,#REF!="NAN"), OR(#REF!=#REF!,#REF!="NAN")),#REF!, 0))</f>
        <v>#REF!</v>
      </c>
      <c r="E213" t="e">
        <f>IF(#REF!="NAN","",IF(
   AND(OR(#REF!=#REF!,#REF!="NAN"),
     OR(#REF!=#REF!,#REF!="NAN"),
     OR(#REF!=#REF!,#REF!="NAN")),
   1,
   0))</f>
        <v>#REF!</v>
      </c>
      <c r="F213" t="s">
        <v>51</v>
      </c>
      <c r="G213" t="e">
        <f>IF(OR(#REF!="UP",#REF!="DOWN"),1,0)</f>
        <v>#REF!</v>
      </c>
      <c r="H213" t="e">
        <f>IF(OR(#REF!="UP",#REF!="DOWN"),1,0)</f>
        <v>#REF!</v>
      </c>
      <c r="I213" t="e">
        <f>IF(OR(#REF!="UP",#REF!="DOWN"),1,0)</f>
        <v>#REF!</v>
      </c>
      <c r="K213" s="7"/>
      <c r="M213" t="e">
        <f>IF(OR(#REF!="UP",#REF!="DOWN"),0,1)</f>
        <v>#REF!</v>
      </c>
      <c r="N213" t="e">
        <f>IF(OR(#REF!="UP",#REF!="DOWN"),VLOOKUP($C213,Configuración!$H$2:$K$11,3),1)</f>
        <v>#REF!</v>
      </c>
      <c r="O213" t="e">
        <f>IF(OR(#REF!="UP",#REF!="DOWN"),VLOOKUP($C213,Configuración!$H$2:$K$11,4),1)</f>
        <v>#REF!</v>
      </c>
      <c r="P213" t="e">
        <f t="shared" si="33"/>
        <v>#REF!</v>
      </c>
      <c r="Q213" t="e">
        <f t="shared" si="34"/>
        <v>#REF!</v>
      </c>
      <c r="R213" t="e">
        <f t="shared" si="32"/>
        <v>#REF!</v>
      </c>
      <c r="T213" t="e">
        <f>IF(R213&lt;&gt;0,Configuración!$E$2,0)</f>
        <v>#REF!</v>
      </c>
      <c r="U213" t="e">
        <f>IF(R213&lt;&gt;0,Configuración!$F$2,0)</f>
        <v>#REF!</v>
      </c>
      <c r="V213" t="e">
        <f>IF(R213&lt;&gt;0,Configuración!$G$2,0)</f>
        <v>#REF!</v>
      </c>
      <c r="W213" t="e">
        <f t="shared" si="35"/>
        <v>#REF!</v>
      </c>
      <c r="X213" t="e">
        <f t="shared" si="36"/>
        <v>#REF!</v>
      </c>
      <c r="Z213" t="e">
        <f t="shared" si="37"/>
        <v>#REF!</v>
      </c>
      <c r="AB213" t="e">
        <f t="shared" si="38"/>
        <v>#REF!</v>
      </c>
      <c r="AG213" t="e">
        <f t="shared" si="39"/>
        <v>#REF!</v>
      </c>
      <c r="AH213" s="5" t="e">
        <f t="shared" si="40"/>
        <v>#REF!</v>
      </c>
      <c r="AI213" t="e">
        <f t="shared" si="41"/>
        <v>#REF!</v>
      </c>
    </row>
    <row r="214" spans="1:35" x14ac:dyDescent="0.55000000000000004">
      <c r="C214" t="s">
        <v>34</v>
      </c>
      <c r="D214" t="e">
        <f>IF(COUNTIF(#REF!,"&lt;&gt;NAN")=0, 0, IF(AND(OR(#REF!=#REF!,#REF!="NAN"), OR(#REF!=#REF!,#REF!="NAN"), OR(#REF!=#REF!,#REF!="NAN")),#REF!, 0))</f>
        <v>#REF!</v>
      </c>
      <c r="E214" t="e">
        <f>IF(#REF!="NAN","",IF(
   AND(OR(#REF!=#REF!,#REF!="NAN"),
     OR(#REF!=#REF!,#REF!="NAN"),
     OR(#REF!=#REF!,#REF!="NAN")),
   1,
   0))</f>
        <v>#REF!</v>
      </c>
      <c r="F214" t="s">
        <v>51</v>
      </c>
      <c r="G214" t="e">
        <f>IF(OR(#REF!="UP",#REF!="DOWN"),1,0)</f>
        <v>#REF!</v>
      </c>
      <c r="H214" t="e">
        <f>IF(OR(#REF!="UP",#REF!="DOWN"),1,0)</f>
        <v>#REF!</v>
      </c>
      <c r="I214" t="e">
        <f>IF(OR(#REF!="UP",#REF!="DOWN"),1,0)</f>
        <v>#REF!</v>
      </c>
      <c r="K214" s="7"/>
      <c r="M214" t="e">
        <f>IF(OR(#REF!="UP",#REF!="DOWN"),0,1)</f>
        <v>#REF!</v>
      </c>
      <c r="N214" t="e">
        <f>IF(OR(#REF!="UP",#REF!="DOWN"),VLOOKUP($C214,Configuración!$H$2:$K$11,3),1)</f>
        <v>#REF!</v>
      </c>
      <c r="O214" t="e">
        <f>IF(OR(#REF!="UP",#REF!="DOWN"),VLOOKUP($C214,Configuración!$H$2:$K$11,4),1)</f>
        <v>#REF!</v>
      </c>
      <c r="P214" t="e">
        <f t="shared" si="33"/>
        <v>#REF!</v>
      </c>
      <c r="Q214" t="e">
        <f t="shared" si="34"/>
        <v>#REF!</v>
      </c>
      <c r="R214" t="e">
        <f t="shared" si="32"/>
        <v>#REF!</v>
      </c>
      <c r="T214" t="e">
        <f>IF(R214&lt;&gt;0,Configuración!$E$2,0)</f>
        <v>#REF!</v>
      </c>
      <c r="U214" t="e">
        <f>IF(R214&lt;&gt;0,Configuración!$F$2,0)</f>
        <v>#REF!</v>
      </c>
      <c r="V214" t="e">
        <f>IF(R214&lt;&gt;0,Configuración!$G$2,0)</f>
        <v>#REF!</v>
      </c>
      <c r="W214" t="e">
        <f t="shared" si="35"/>
        <v>#REF!</v>
      </c>
      <c r="X214" t="e">
        <f t="shared" si="36"/>
        <v>#REF!</v>
      </c>
      <c r="Z214" t="e">
        <f t="shared" si="37"/>
        <v>#REF!</v>
      </c>
      <c r="AB214" t="e">
        <f t="shared" si="38"/>
        <v>#REF!</v>
      </c>
      <c r="AG214" t="e">
        <f t="shared" si="39"/>
        <v>#REF!</v>
      </c>
      <c r="AH214" s="5" t="e">
        <f t="shared" si="40"/>
        <v>#REF!</v>
      </c>
      <c r="AI214" t="e">
        <f t="shared" si="41"/>
        <v>#REF!</v>
      </c>
    </row>
    <row r="215" spans="1:35" x14ac:dyDescent="0.55000000000000004">
      <c r="C215" t="s">
        <v>27</v>
      </c>
      <c r="D215" t="e">
        <f>IF(COUNTIF(#REF!,"&lt;&gt;NAN")=0, 0, IF(AND(OR(#REF!=#REF!,#REF!="NAN"), OR(#REF!=#REF!,#REF!="NAN"), OR(#REF!=#REF!,#REF!="NAN")),#REF!, 0))</f>
        <v>#REF!</v>
      </c>
      <c r="E215" t="e">
        <f>IF(#REF!="NAN","",IF(
   AND(OR(#REF!=#REF!,#REF!="NAN"),
     OR(#REF!=#REF!,#REF!="NAN"),
     OR(#REF!=#REF!,#REF!="NAN")),
   1,
   0))</f>
        <v>#REF!</v>
      </c>
      <c r="F215" t="s">
        <v>51</v>
      </c>
      <c r="G215" t="e">
        <f>IF(OR(#REF!="UP",#REF!="DOWN"),1,0)</f>
        <v>#REF!</v>
      </c>
      <c r="H215" t="e">
        <f>IF(OR(#REF!="UP",#REF!="DOWN"),1,0)</f>
        <v>#REF!</v>
      </c>
      <c r="I215" t="e">
        <f>IF(OR(#REF!="UP",#REF!="DOWN"),1,0)</f>
        <v>#REF!</v>
      </c>
      <c r="K215" s="7"/>
      <c r="M215" t="e">
        <f>IF(OR(#REF!="UP",#REF!="DOWN"),0,1)</f>
        <v>#REF!</v>
      </c>
      <c r="N215" t="e">
        <f>IF(OR(#REF!="UP",#REF!="DOWN"),VLOOKUP($C215,Configuración!$H$2:$K$11,3),1)</f>
        <v>#REF!</v>
      </c>
      <c r="O215" t="e">
        <f>IF(OR(#REF!="UP",#REF!="DOWN"),VLOOKUP($C215,Configuración!$H$2:$K$11,4),1)</f>
        <v>#REF!</v>
      </c>
      <c r="P215" t="e">
        <f t="shared" si="33"/>
        <v>#REF!</v>
      </c>
      <c r="Q215" t="e">
        <f t="shared" si="34"/>
        <v>#REF!</v>
      </c>
      <c r="R215" t="e">
        <f t="shared" si="32"/>
        <v>#REF!</v>
      </c>
      <c r="T215" t="e">
        <f>IF(R215&lt;&gt;0,Configuración!$E$2,0)</f>
        <v>#REF!</v>
      </c>
      <c r="U215" t="e">
        <f>IF(R215&lt;&gt;0,Configuración!$F$2,0)</f>
        <v>#REF!</v>
      </c>
      <c r="V215" t="e">
        <f>IF(R215&lt;&gt;0,Configuración!$G$2,0)</f>
        <v>#REF!</v>
      </c>
      <c r="W215" t="e">
        <f t="shared" si="35"/>
        <v>#REF!</v>
      </c>
      <c r="X215" t="e">
        <f t="shared" si="36"/>
        <v>#REF!</v>
      </c>
      <c r="Z215" t="e">
        <f t="shared" si="37"/>
        <v>#REF!</v>
      </c>
      <c r="AB215" t="e">
        <f t="shared" si="38"/>
        <v>#REF!</v>
      </c>
      <c r="AG215" t="e">
        <f t="shared" si="39"/>
        <v>#REF!</v>
      </c>
      <c r="AH215" s="5" t="e">
        <f t="shared" si="40"/>
        <v>#REF!</v>
      </c>
      <c r="AI215" t="e">
        <f t="shared" si="41"/>
        <v>#REF!</v>
      </c>
    </row>
    <row r="216" spans="1:35" x14ac:dyDescent="0.55000000000000004">
      <c r="C216" t="s">
        <v>28</v>
      </c>
      <c r="D216" t="e">
        <f>IF(COUNTIF(#REF!,"&lt;&gt;NAN")=0, 0, IF(AND(OR(#REF!=#REF!,#REF!="NAN"), OR(#REF!=#REF!,#REF!="NAN"), OR(#REF!=#REF!,#REF!="NAN")),#REF!, 0))</f>
        <v>#REF!</v>
      </c>
      <c r="E216" t="e">
        <f>IF(#REF!="NAN","",IF(
   AND(OR(#REF!=#REF!,#REF!="NAN"),
     OR(#REF!=#REF!,#REF!="NAN"),
     OR(#REF!=#REF!,#REF!="NAN")),
   1,
   0))</f>
        <v>#REF!</v>
      </c>
      <c r="F216" t="s">
        <v>51</v>
      </c>
      <c r="G216" t="e">
        <f>IF(OR(#REF!="UP",#REF!="DOWN"),1,0)</f>
        <v>#REF!</v>
      </c>
      <c r="H216" t="e">
        <f>IF(OR(#REF!="UP",#REF!="DOWN"),1,0)</f>
        <v>#REF!</v>
      </c>
      <c r="I216" t="e">
        <f>IF(OR(#REF!="UP",#REF!="DOWN"),1,0)</f>
        <v>#REF!</v>
      </c>
      <c r="K216" s="7"/>
      <c r="M216" t="e">
        <f>IF(OR(#REF!="UP",#REF!="DOWN"),0,1)</f>
        <v>#REF!</v>
      </c>
      <c r="N216" t="e">
        <f>IF(OR(#REF!="UP",#REF!="DOWN"),VLOOKUP($C216,Configuración!$H$2:$K$11,3),1)</f>
        <v>#REF!</v>
      </c>
      <c r="O216" t="e">
        <f>IF(OR(#REF!="UP",#REF!="DOWN"),VLOOKUP($C216,Configuración!$H$2:$K$11,4),1)</f>
        <v>#REF!</v>
      </c>
      <c r="P216" t="e">
        <f t="shared" si="33"/>
        <v>#REF!</v>
      </c>
      <c r="Q216" t="e">
        <f t="shared" si="34"/>
        <v>#REF!</v>
      </c>
      <c r="R216" t="e">
        <f t="shared" si="32"/>
        <v>#REF!</v>
      </c>
      <c r="T216" t="e">
        <f>IF(R216&lt;&gt;0,Configuración!$E$2,0)</f>
        <v>#REF!</v>
      </c>
      <c r="U216" t="e">
        <f>IF(R216&lt;&gt;0,Configuración!$F$2,0)</f>
        <v>#REF!</v>
      </c>
      <c r="V216" t="e">
        <f>IF(R216&lt;&gt;0,Configuración!$G$2,0)</f>
        <v>#REF!</v>
      </c>
      <c r="W216" t="e">
        <f t="shared" si="35"/>
        <v>#REF!</v>
      </c>
      <c r="X216" t="e">
        <f t="shared" si="36"/>
        <v>#REF!</v>
      </c>
      <c r="Z216" t="e">
        <f t="shared" si="37"/>
        <v>#REF!</v>
      </c>
      <c r="AB216" t="e">
        <f t="shared" si="38"/>
        <v>#REF!</v>
      </c>
      <c r="AG216" t="e">
        <f t="shared" si="39"/>
        <v>#REF!</v>
      </c>
      <c r="AH216" s="5" t="e">
        <f t="shared" si="40"/>
        <v>#REF!</v>
      </c>
      <c r="AI216" t="e">
        <f t="shared" si="41"/>
        <v>#REF!</v>
      </c>
    </row>
    <row r="217" spans="1:35" x14ac:dyDescent="0.55000000000000004">
      <c r="C217" t="s">
        <v>30</v>
      </c>
      <c r="D217" t="e">
        <f>IF(COUNTIF(#REF!,"&lt;&gt;NAN")=0, 0, IF(AND(OR(#REF!=#REF!,#REF!="NAN"), OR(#REF!=#REF!,#REF!="NAN"), OR(#REF!=#REF!,#REF!="NAN")),#REF!, 0))</f>
        <v>#REF!</v>
      </c>
      <c r="E217" t="e">
        <f>IF(#REF!="NAN","",IF(
   AND(OR(#REF!=#REF!,#REF!="NAN"),
     OR(#REF!=#REF!,#REF!="NAN"),
     OR(#REF!=#REF!,#REF!="NAN")),
   1,
   0))</f>
        <v>#REF!</v>
      </c>
      <c r="F217" t="s">
        <v>51</v>
      </c>
      <c r="G217" t="e">
        <f>IF(OR(#REF!="UP",#REF!="DOWN"),1,0)</f>
        <v>#REF!</v>
      </c>
      <c r="H217" t="e">
        <f>IF(OR(#REF!="UP",#REF!="DOWN"),1,0)</f>
        <v>#REF!</v>
      </c>
      <c r="I217" t="e">
        <f>IF(OR(#REF!="UP",#REF!="DOWN"),1,0)</f>
        <v>#REF!</v>
      </c>
      <c r="K217" s="7"/>
      <c r="M217" t="e">
        <f>IF(OR(#REF!="UP",#REF!="DOWN"),0,1)</f>
        <v>#REF!</v>
      </c>
      <c r="N217" t="e">
        <f>IF(OR(#REF!="UP",#REF!="DOWN"),VLOOKUP($C217,Configuración!$H$2:$K$11,3),1)</f>
        <v>#REF!</v>
      </c>
      <c r="O217" t="e">
        <f>IF(OR(#REF!="UP",#REF!="DOWN"),VLOOKUP($C217,Configuración!$H$2:$K$11,4),1)</f>
        <v>#REF!</v>
      </c>
      <c r="P217" t="e">
        <f t="shared" si="33"/>
        <v>#REF!</v>
      </c>
      <c r="Q217" t="e">
        <f t="shared" si="34"/>
        <v>#REF!</v>
      </c>
      <c r="R217" t="e">
        <f t="shared" si="32"/>
        <v>#REF!</v>
      </c>
      <c r="T217" t="e">
        <f>IF(R217&lt;&gt;0,Configuración!$E$2,0)</f>
        <v>#REF!</v>
      </c>
      <c r="U217" t="e">
        <f>IF(R217&lt;&gt;0,Configuración!$F$2,0)</f>
        <v>#REF!</v>
      </c>
      <c r="V217" t="e">
        <f>IF(R217&lt;&gt;0,Configuración!$G$2,0)</f>
        <v>#REF!</v>
      </c>
      <c r="W217" t="e">
        <f t="shared" si="35"/>
        <v>#REF!</v>
      </c>
      <c r="X217" t="e">
        <f t="shared" si="36"/>
        <v>#REF!</v>
      </c>
      <c r="Z217" t="e">
        <f t="shared" si="37"/>
        <v>#REF!</v>
      </c>
      <c r="AB217" t="e">
        <f t="shared" si="38"/>
        <v>#REF!</v>
      </c>
      <c r="AG217" t="e">
        <f t="shared" si="39"/>
        <v>#REF!</v>
      </c>
      <c r="AH217" s="5" t="e">
        <f t="shared" si="40"/>
        <v>#REF!</v>
      </c>
      <c r="AI217" t="e">
        <f t="shared" si="41"/>
        <v>#REF!</v>
      </c>
    </row>
    <row r="218" spans="1:35" x14ac:dyDescent="0.55000000000000004">
      <c r="C218" t="s">
        <v>29</v>
      </c>
      <c r="D218" t="e">
        <f>IF(COUNTIF(#REF!,"&lt;&gt;NAN")=0, 0, IF(AND(OR(#REF!=#REF!,#REF!="NAN"), OR(#REF!=#REF!,#REF!="NAN"), OR(#REF!=#REF!,#REF!="NAN")),#REF!, 0))</f>
        <v>#REF!</v>
      </c>
      <c r="E218" t="e">
        <f>IF(#REF!="NAN","",IF(
   AND(OR(#REF!=#REF!,#REF!="NAN"),
     OR(#REF!=#REF!,#REF!="NAN"),
     OR(#REF!=#REF!,#REF!="NAN")),
   1,
   0))</f>
        <v>#REF!</v>
      </c>
      <c r="F218" t="s">
        <v>37</v>
      </c>
      <c r="G218" t="e">
        <f>IF(OR(#REF!="UP",#REF!="DOWN"),1,0)</f>
        <v>#REF!</v>
      </c>
      <c r="H218" t="e">
        <f>IF(OR(#REF!="UP",#REF!="DOWN"),1,0)</f>
        <v>#REF!</v>
      </c>
      <c r="I218" t="e">
        <f>IF(OR(#REF!="UP",#REF!="DOWN"),1,0)</f>
        <v>#REF!</v>
      </c>
      <c r="K218" s="7"/>
      <c r="M218" t="e">
        <f>IF(OR(#REF!="UP",#REF!="DOWN"),0,1)</f>
        <v>#REF!</v>
      </c>
      <c r="N218" t="e">
        <f>IF(OR(#REF!="UP",#REF!="DOWN"),VLOOKUP($C218,Configuración!$H$2:$K$11,3),1)</f>
        <v>#REF!</v>
      </c>
      <c r="O218" t="e">
        <f>IF(OR(#REF!="UP",#REF!="DOWN"),VLOOKUP($C218,Configuración!$H$2:$K$11,4),1)</f>
        <v>#REF!</v>
      </c>
      <c r="P218" t="e">
        <f t="shared" si="33"/>
        <v>#REF!</v>
      </c>
      <c r="Q218" t="e">
        <f t="shared" si="34"/>
        <v>#REF!</v>
      </c>
      <c r="R218" t="e">
        <f t="shared" si="32"/>
        <v>#REF!</v>
      </c>
      <c r="T218" t="e">
        <f>IF(R218&lt;&gt;0,Configuración!$E$2,0)</f>
        <v>#REF!</v>
      </c>
      <c r="U218" t="e">
        <f>IF(R218&lt;&gt;0,Configuración!$F$2,0)</f>
        <v>#REF!</v>
      </c>
      <c r="V218" t="e">
        <f>IF(R218&lt;&gt;0,Configuración!$G$2,0)</f>
        <v>#REF!</v>
      </c>
      <c r="W218" t="e">
        <f t="shared" si="35"/>
        <v>#REF!</v>
      </c>
      <c r="X218" t="e">
        <f t="shared" si="36"/>
        <v>#REF!</v>
      </c>
      <c r="Z218" t="e">
        <f t="shared" si="37"/>
        <v>#REF!</v>
      </c>
      <c r="AB218" t="e">
        <f t="shared" si="38"/>
        <v>#REF!</v>
      </c>
      <c r="AG218" t="e">
        <f t="shared" si="39"/>
        <v>#REF!</v>
      </c>
      <c r="AH218" s="5" t="e">
        <f t="shared" si="40"/>
        <v>#REF!</v>
      </c>
      <c r="AI218" t="e">
        <f t="shared" si="41"/>
        <v>#REF!</v>
      </c>
    </row>
    <row r="219" spans="1:35" x14ac:dyDescent="0.55000000000000004">
      <c r="C219" t="s">
        <v>31</v>
      </c>
      <c r="D219" t="e">
        <f>IF(COUNTIF(#REF!,"&lt;&gt;NAN")=0, 0, IF(AND(OR(#REF!=#REF!,#REF!="NAN"), OR(#REF!=#REF!,#REF!="NAN"), OR(#REF!=#REF!,#REF!="NAN")),#REF!, 0))</f>
        <v>#REF!</v>
      </c>
      <c r="E219" t="e">
        <f>IF(#REF!="NAN","",IF(
   AND(OR(#REF!=#REF!,#REF!="NAN"),
     OR(#REF!=#REF!,#REF!="NAN"),
     OR(#REF!=#REF!,#REF!="NAN")),
   1,
   0))</f>
        <v>#REF!</v>
      </c>
      <c r="F219" t="s">
        <v>37</v>
      </c>
      <c r="G219" t="e">
        <f>IF(OR(#REF!="UP",#REF!="DOWN"),1,0)</f>
        <v>#REF!</v>
      </c>
      <c r="H219" t="e">
        <f>IF(OR(#REF!="UP",#REF!="DOWN"),1,0)</f>
        <v>#REF!</v>
      </c>
      <c r="I219" t="e">
        <f>IF(OR(#REF!="UP",#REF!="DOWN"),1,0)</f>
        <v>#REF!</v>
      </c>
      <c r="K219" s="7"/>
      <c r="M219" t="e">
        <f>IF(OR(#REF!="UP",#REF!="DOWN"),0,1)</f>
        <v>#REF!</v>
      </c>
      <c r="N219" t="e">
        <f>IF(OR(#REF!="UP",#REF!="DOWN"),VLOOKUP($C219,Configuración!$H$2:$K$11,3),1)</f>
        <v>#REF!</v>
      </c>
      <c r="O219" t="e">
        <f>IF(OR(#REF!="UP",#REF!="DOWN"),VLOOKUP($C219,Configuración!$H$2:$K$11,4),1)</f>
        <v>#REF!</v>
      </c>
      <c r="P219" t="e">
        <f t="shared" si="33"/>
        <v>#REF!</v>
      </c>
      <c r="Q219" t="e">
        <f t="shared" si="34"/>
        <v>#REF!</v>
      </c>
      <c r="R219" t="e">
        <f t="shared" si="32"/>
        <v>#REF!</v>
      </c>
      <c r="T219" t="e">
        <f>IF(R219&lt;&gt;0,Configuración!$E$2,0)</f>
        <v>#REF!</v>
      </c>
      <c r="U219" t="e">
        <f>IF(R219&lt;&gt;0,Configuración!$F$2,0)</f>
        <v>#REF!</v>
      </c>
      <c r="V219" t="e">
        <f>IF(R219&lt;&gt;0,Configuración!$G$2,0)</f>
        <v>#REF!</v>
      </c>
      <c r="W219" t="e">
        <f t="shared" si="35"/>
        <v>#REF!</v>
      </c>
      <c r="X219" t="e">
        <f t="shared" si="36"/>
        <v>#REF!</v>
      </c>
      <c r="Z219" t="e">
        <f t="shared" si="37"/>
        <v>#REF!</v>
      </c>
      <c r="AB219" t="e">
        <f t="shared" si="38"/>
        <v>#REF!</v>
      </c>
      <c r="AG219" t="e">
        <f t="shared" si="39"/>
        <v>#REF!</v>
      </c>
      <c r="AH219" s="5" t="e">
        <f t="shared" si="40"/>
        <v>#REF!</v>
      </c>
      <c r="AI219" t="e">
        <f t="shared" si="41"/>
        <v>#REF!</v>
      </c>
    </row>
    <row r="220" spans="1:35" x14ac:dyDescent="0.55000000000000004">
      <c r="A220" s="3">
        <v>45954</v>
      </c>
      <c r="C220" t="s">
        <v>32</v>
      </c>
      <c r="D220" t="e">
        <f>IF(COUNTIF(#REF!,"&lt;&gt;NAN")=0, 0, IF(AND(OR(#REF!=#REF!,#REF!="NAN"), OR(#REF!=#REF!,#REF!="NAN"), OR(#REF!=#REF!,#REF!="NAN")),#REF!, 0))</f>
        <v>#REF!</v>
      </c>
      <c r="E220" t="e">
        <f>IF(#REF!="NAN","",IF(
   AND(OR(#REF!=#REF!,#REF!="NAN"),
     OR(#REF!=#REF!,#REF!="NAN"),
     OR(#REF!=#REF!,#REF!="NAN")),
   1,
   0))</f>
        <v>#REF!</v>
      </c>
      <c r="F220" t="s">
        <v>37</v>
      </c>
      <c r="G220" t="e">
        <f>IF(OR(#REF!="UP",#REF!="DOWN"),1,0)</f>
        <v>#REF!</v>
      </c>
      <c r="H220" t="e">
        <f>IF(OR(#REF!="UP",#REF!="DOWN"),1,0)</f>
        <v>#REF!</v>
      </c>
      <c r="I220" t="e">
        <f>IF(OR(#REF!="UP",#REF!="DOWN"),1,0)</f>
        <v>#REF!</v>
      </c>
      <c r="K220" s="7"/>
      <c r="M220" t="e">
        <f>IF(OR(#REF!="UP",#REF!="DOWN"),0,1)</f>
        <v>#REF!</v>
      </c>
      <c r="N220" t="e">
        <f>IF(OR(#REF!="UP",#REF!="DOWN"),VLOOKUP($C220,Configuración!$H$2:$K$11,3),1)</f>
        <v>#REF!</v>
      </c>
      <c r="O220" t="e">
        <f>IF(OR(#REF!="UP",#REF!="DOWN"),VLOOKUP($C220,Configuración!$H$2:$K$11,4),1)</f>
        <v>#REF!</v>
      </c>
      <c r="P220" t="e">
        <f t="shared" si="33"/>
        <v>#REF!</v>
      </c>
      <c r="Q220" t="e">
        <f t="shared" si="34"/>
        <v>#REF!</v>
      </c>
      <c r="R220" t="e">
        <f t="shared" si="32"/>
        <v>#REF!</v>
      </c>
      <c r="T220" t="e">
        <f>IF(R220&lt;&gt;0,Configuración!$E$2,0)</f>
        <v>#REF!</v>
      </c>
      <c r="U220" t="e">
        <f>IF(R220&lt;&gt;0,Configuración!$F$2,0)</f>
        <v>#REF!</v>
      </c>
      <c r="V220" t="e">
        <f>IF(R220&lt;&gt;0,Configuración!$G$2,0)</f>
        <v>#REF!</v>
      </c>
      <c r="W220" t="e">
        <f t="shared" si="35"/>
        <v>#REF!</v>
      </c>
      <c r="X220" t="e">
        <f t="shared" si="36"/>
        <v>#REF!</v>
      </c>
      <c r="Z220" t="e">
        <f t="shared" si="37"/>
        <v>#REF!</v>
      </c>
      <c r="AB220" t="e">
        <f t="shared" si="38"/>
        <v>#REF!</v>
      </c>
      <c r="AG220" t="e">
        <f t="shared" si="39"/>
        <v>#REF!</v>
      </c>
      <c r="AH220" s="5" t="e">
        <f t="shared" si="40"/>
        <v>#REF!</v>
      </c>
      <c r="AI220" t="e">
        <f t="shared" si="41"/>
        <v>#REF!</v>
      </c>
    </row>
    <row r="221" spans="1:35" x14ac:dyDescent="0.55000000000000004">
      <c r="C221" t="s">
        <v>26</v>
      </c>
      <c r="D221" t="e">
        <f>IF(COUNTIF(#REF!,"&lt;&gt;NAN")=0, 0, IF(AND(OR(#REF!=#REF!,#REF!="NAN"), OR(#REF!=#REF!,#REF!="NAN"), OR(#REF!=#REF!,#REF!="NAN")),#REF!, 0))</f>
        <v>#REF!</v>
      </c>
      <c r="E221" t="e">
        <f>IF(#REF!="NAN","",IF(
   AND(OR(#REF!=#REF!,#REF!="NAN"),
     OR(#REF!=#REF!,#REF!="NAN"),
     OR(#REF!=#REF!,#REF!="NAN")),
   1,
   0))</f>
        <v>#REF!</v>
      </c>
      <c r="F221" t="s">
        <v>37</v>
      </c>
      <c r="G221" t="e">
        <f>IF(OR(#REF!="UP",#REF!="DOWN"),1,0)</f>
        <v>#REF!</v>
      </c>
      <c r="H221" t="e">
        <f>IF(OR(#REF!="UP",#REF!="DOWN"),1,0)</f>
        <v>#REF!</v>
      </c>
      <c r="I221" t="e">
        <f>IF(OR(#REF!="UP",#REF!="DOWN"),1,0)</f>
        <v>#REF!</v>
      </c>
      <c r="K221" s="7"/>
      <c r="M221" t="e">
        <f>IF(OR(#REF!="UP",#REF!="DOWN"),0,1)</f>
        <v>#REF!</v>
      </c>
      <c r="N221" t="e">
        <f>IF(OR(#REF!="UP",#REF!="DOWN"),VLOOKUP($C221,Configuración!$H$2:$K$11,3),1)</f>
        <v>#REF!</v>
      </c>
      <c r="O221" t="e">
        <f>IF(OR(#REF!="UP",#REF!="DOWN"),VLOOKUP($C221,Configuración!$H$2:$K$11,4),1)</f>
        <v>#REF!</v>
      </c>
      <c r="P221" t="e">
        <f t="shared" si="33"/>
        <v>#REF!</v>
      </c>
      <c r="Q221" t="e">
        <f t="shared" si="34"/>
        <v>#REF!</v>
      </c>
      <c r="R221" t="e">
        <f t="shared" si="32"/>
        <v>#REF!</v>
      </c>
      <c r="T221" t="e">
        <f>IF(R221&lt;&gt;0,Configuración!$E$2,0)</f>
        <v>#REF!</v>
      </c>
      <c r="U221" t="e">
        <f>IF(R221&lt;&gt;0,Configuración!$F$2,0)</f>
        <v>#REF!</v>
      </c>
      <c r="V221" t="e">
        <f>IF(R221&lt;&gt;0,Configuración!$G$2,0)</f>
        <v>#REF!</v>
      </c>
      <c r="W221" t="e">
        <f t="shared" si="35"/>
        <v>#REF!</v>
      </c>
      <c r="X221" t="e">
        <f t="shared" si="36"/>
        <v>#REF!</v>
      </c>
      <c r="Z221" t="e">
        <f t="shared" si="37"/>
        <v>#REF!</v>
      </c>
      <c r="AB221" t="e">
        <f t="shared" si="38"/>
        <v>#REF!</v>
      </c>
      <c r="AG221" t="e">
        <f t="shared" si="39"/>
        <v>#REF!</v>
      </c>
      <c r="AH221" s="5" t="e">
        <f t="shared" si="40"/>
        <v>#REF!</v>
      </c>
      <c r="AI221" t="e">
        <f t="shared" si="41"/>
        <v>#REF!</v>
      </c>
    </row>
    <row r="222" spans="1:35" x14ac:dyDescent="0.55000000000000004">
      <c r="C222" t="s">
        <v>33</v>
      </c>
      <c r="D222" t="e">
        <f>IF(COUNTIF(#REF!,"&lt;&gt;NAN")=0, 0, IF(AND(OR(#REF!=#REF!,#REF!="NAN"), OR(#REF!=#REF!,#REF!="NAN"), OR(#REF!=#REF!,#REF!="NAN")),#REF!, 0))</f>
        <v>#REF!</v>
      </c>
      <c r="E222" t="e">
        <f>IF(#REF!="NAN","",IF(
   AND(OR(#REF!=#REF!,#REF!="NAN"),
     OR(#REF!=#REF!,#REF!="NAN"),
     OR(#REF!=#REF!,#REF!="NAN")),
   1,
   0))</f>
        <v>#REF!</v>
      </c>
      <c r="F222" t="s">
        <v>37</v>
      </c>
      <c r="G222" t="e">
        <f>IF(OR(#REF!="UP",#REF!="DOWN"),1,0)</f>
        <v>#REF!</v>
      </c>
      <c r="H222" t="e">
        <f>IF(OR(#REF!="UP",#REF!="DOWN"),1,0)</f>
        <v>#REF!</v>
      </c>
      <c r="I222" t="e">
        <f>IF(OR(#REF!="UP",#REF!="DOWN"),1,0)</f>
        <v>#REF!</v>
      </c>
      <c r="K222" s="7"/>
      <c r="M222" t="e">
        <f>IF(OR(#REF!="UP",#REF!="DOWN"),0,1)</f>
        <v>#REF!</v>
      </c>
      <c r="N222" t="e">
        <f>IF(OR(#REF!="UP",#REF!="DOWN"),VLOOKUP($C222,Configuración!$H$2:$K$11,3),1)</f>
        <v>#REF!</v>
      </c>
      <c r="O222" t="e">
        <f>IF(OR(#REF!="UP",#REF!="DOWN"),VLOOKUP($C222,Configuración!$H$2:$K$11,4),1)</f>
        <v>#REF!</v>
      </c>
      <c r="P222" t="e">
        <f t="shared" si="33"/>
        <v>#REF!</v>
      </c>
      <c r="Q222" t="e">
        <f t="shared" si="34"/>
        <v>#REF!</v>
      </c>
      <c r="R222" t="e">
        <f t="shared" si="32"/>
        <v>#REF!</v>
      </c>
      <c r="T222" t="e">
        <f>IF(R222&lt;&gt;0,Configuración!$E$2,0)</f>
        <v>#REF!</v>
      </c>
      <c r="U222" t="e">
        <f>IF(R222&lt;&gt;0,Configuración!$F$2,0)</f>
        <v>#REF!</v>
      </c>
      <c r="V222" t="e">
        <f>IF(R222&lt;&gt;0,Configuración!$G$2,0)</f>
        <v>#REF!</v>
      </c>
      <c r="W222" t="e">
        <f t="shared" si="35"/>
        <v>#REF!</v>
      </c>
      <c r="X222" t="e">
        <f t="shared" si="36"/>
        <v>#REF!</v>
      </c>
      <c r="Z222" t="e">
        <f t="shared" si="37"/>
        <v>#REF!</v>
      </c>
      <c r="AB222" t="e">
        <f t="shared" si="38"/>
        <v>#REF!</v>
      </c>
      <c r="AG222" t="e">
        <f t="shared" si="39"/>
        <v>#REF!</v>
      </c>
      <c r="AH222" s="5" t="e">
        <f t="shared" si="40"/>
        <v>#REF!</v>
      </c>
      <c r="AI222" t="e">
        <f t="shared" si="41"/>
        <v>#REF!</v>
      </c>
    </row>
    <row r="223" spans="1:35" x14ac:dyDescent="0.55000000000000004">
      <c r="C223" t="s">
        <v>35</v>
      </c>
      <c r="D223" t="e">
        <f>IF(COUNTIF(#REF!,"&lt;&gt;NAN")=0, 0, IF(AND(OR(#REF!=#REF!,#REF!="NAN"), OR(#REF!=#REF!,#REF!="NAN"), OR(#REF!=#REF!,#REF!="NAN")),#REF!, 0))</f>
        <v>#REF!</v>
      </c>
      <c r="E223" t="e">
        <f>IF(#REF!="NAN","",IF(
   AND(OR(#REF!=#REF!,#REF!="NAN"),
     OR(#REF!=#REF!,#REF!="NAN"),
     OR(#REF!=#REF!,#REF!="NAN")),
   1,
   0))</f>
        <v>#REF!</v>
      </c>
      <c r="F223" t="s">
        <v>51</v>
      </c>
      <c r="G223" t="e">
        <f>IF(OR(#REF!="UP",#REF!="DOWN"),1,0)</f>
        <v>#REF!</v>
      </c>
      <c r="H223" t="e">
        <f>IF(OR(#REF!="UP",#REF!="DOWN"),1,0)</f>
        <v>#REF!</v>
      </c>
      <c r="I223" t="e">
        <f>IF(OR(#REF!="UP",#REF!="DOWN"),1,0)</f>
        <v>#REF!</v>
      </c>
      <c r="K223" s="7"/>
      <c r="M223" t="e">
        <f>IF(OR(#REF!="UP",#REF!="DOWN"),0,1)</f>
        <v>#REF!</v>
      </c>
      <c r="N223" t="e">
        <f>IF(OR(#REF!="UP",#REF!="DOWN"),VLOOKUP($C223,Configuración!$H$2:$K$11,3),1)</f>
        <v>#REF!</v>
      </c>
      <c r="O223" t="e">
        <f>IF(OR(#REF!="UP",#REF!="DOWN"),VLOOKUP($C223,Configuración!$H$2:$K$11,4),1)</f>
        <v>#REF!</v>
      </c>
      <c r="P223" t="e">
        <f t="shared" si="33"/>
        <v>#REF!</v>
      </c>
      <c r="Q223" t="e">
        <f t="shared" si="34"/>
        <v>#REF!</v>
      </c>
      <c r="R223" t="e">
        <f t="shared" si="32"/>
        <v>#REF!</v>
      </c>
      <c r="T223" t="e">
        <f>IF(R223&lt;&gt;0,Configuración!$E$2,0)</f>
        <v>#REF!</v>
      </c>
      <c r="U223" t="e">
        <f>IF(R223&lt;&gt;0,Configuración!$F$2,0)</f>
        <v>#REF!</v>
      </c>
      <c r="V223" t="e">
        <f>IF(R223&lt;&gt;0,Configuración!$G$2,0)</f>
        <v>#REF!</v>
      </c>
      <c r="W223" t="e">
        <f t="shared" si="35"/>
        <v>#REF!</v>
      </c>
      <c r="X223" t="e">
        <f t="shared" si="36"/>
        <v>#REF!</v>
      </c>
      <c r="Z223" t="e">
        <f t="shared" si="37"/>
        <v>#REF!</v>
      </c>
      <c r="AB223" t="e">
        <f t="shared" si="38"/>
        <v>#REF!</v>
      </c>
      <c r="AG223" t="e">
        <f t="shared" si="39"/>
        <v>#REF!</v>
      </c>
      <c r="AH223" s="5" t="e">
        <f t="shared" si="40"/>
        <v>#REF!</v>
      </c>
      <c r="AI223" t="e">
        <f t="shared" si="41"/>
        <v>#REF!</v>
      </c>
    </row>
    <row r="224" spans="1:35" x14ac:dyDescent="0.55000000000000004">
      <c r="C224" t="s">
        <v>34</v>
      </c>
      <c r="D224" t="e">
        <f>IF(COUNTIF(#REF!,"&lt;&gt;NAN")=0, 0, IF(AND(OR(#REF!=#REF!,#REF!="NAN"), OR(#REF!=#REF!,#REF!="NAN"), OR(#REF!=#REF!,#REF!="NAN")),#REF!, 0))</f>
        <v>#REF!</v>
      </c>
      <c r="E224" t="e">
        <f>IF(#REF!="NAN","",IF(
   AND(OR(#REF!=#REF!,#REF!="NAN"),
     OR(#REF!=#REF!,#REF!="NAN"),
     OR(#REF!=#REF!,#REF!="NAN")),
   1,
   0))</f>
        <v>#REF!</v>
      </c>
      <c r="F224" t="s">
        <v>51</v>
      </c>
      <c r="G224" t="e">
        <f>IF(OR(#REF!="UP",#REF!="DOWN"),1,0)</f>
        <v>#REF!</v>
      </c>
      <c r="H224" t="e">
        <f>IF(OR(#REF!="UP",#REF!="DOWN"),1,0)</f>
        <v>#REF!</v>
      </c>
      <c r="I224" t="e">
        <f>IF(OR(#REF!="UP",#REF!="DOWN"),1,0)</f>
        <v>#REF!</v>
      </c>
      <c r="K224" s="7"/>
      <c r="M224" t="e">
        <f>IF(OR(#REF!="UP",#REF!="DOWN"),0,1)</f>
        <v>#REF!</v>
      </c>
      <c r="N224" t="e">
        <f>IF(OR(#REF!="UP",#REF!="DOWN"),VLOOKUP($C224,Configuración!$H$2:$K$11,3),1)</f>
        <v>#REF!</v>
      </c>
      <c r="O224" t="e">
        <f>IF(OR(#REF!="UP",#REF!="DOWN"),VLOOKUP($C224,Configuración!$H$2:$K$11,4),1)</f>
        <v>#REF!</v>
      </c>
      <c r="P224" t="e">
        <f t="shared" si="33"/>
        <v>#REF!</v>
      </c>
      <c r="Q224" t="e">
        <f t="shared" si="34"/>
        <v>#REF!</v>
      </c>
      <c r="R224" t="e">
        <f t="shared" si="32"/>
        <v>#REF!</v>
      </c>
      <c r="T224" t="e">
        <f>IF(R224&lt;&gt;0,Configuración!$E$2,0)</f>
        <v>#REF!</v>
      </c>
      <c r="U224" t="e">
        <f>IF(R224&lt;&gt;0,Configuración!$F$2,0)</f>
        <v>#REF!</v>
      </c>
      <c r="V224" t="e">
        <f>IF(R224&lt;&gt;0,Configuración!$G$2,0)</f>
        <v>#REF!</v>
      </c>
      <c r="W224" t="e">
        <f t="shared" si="35"/>
        <v>#REF!</v>
      </c>
      <c r="X224" t="e">
        <f t="shared" si="36"/>
        <v>#REF!</v>
      </c>
      <c r="Z224" t="e">
        <f t="shared" si="37"/>
        <v>#REF!</v>
      </c>
      <c r="AB224" t="e">
        <f t="shared" si="38"/>
        <v>#REF!</v>
      </c>
      <c r="AG224" t="e">
        <f t="shared" si="39"/>
        <v>#REF!</v>
      </c>
      <c r="AH224" s="5" t="e">
        <f t="shared" si="40"/>
        <v>#REF!</v>
      </c>
      <c r="AI224" t="e">
        <f t="shared" si="41"/>
        <v>#REF!</v>
      </c>
    </row>
    <row r="225" spans="1:35" x14ac:dyDescent="0.55000000000000004">
      <c r="C225" t="s">
        <v>27</v>
      </c>
      <c r="D225" t="e">
        <f>IF(COUNTIF(#REF!,"&lt;&gt;NAN")=0, 0, IF(AND(OR(#REF!=#REF!,#REF!="NAN"), OR(#REF!=#REF!,#REF!="NAN"), OR(#REF!=#REF!,#REF!="NAN")),#REF!, 0))</f>
        <v>#REF!</v>
      </c>
      <c r="E225" t="e">
        <f>IF(#REF!="NAN","",IF(
   AND(OR(#REF!=#REF!,#REF!="NAN"),
     OR(#REF!=#REF!,#REF!="NAN"),
     OR(#REF!=#REF!,#REF!="NAN")),
   1,
   0))</f>
        <v>#REF!</v>
      </c>
      <c r="F225" t="s">
        <v>51</v>
      </c>
      <c r="G225" t="e">
        <f>IF(OR(#REF!="UP",#REF!="DOWN"),1,0)</f>
        <v>#REF!</v>
      </c>
      <c r="H225" t="e">
        <f>IF(OR(#REF!="UP",#REF!="DOWN"),1,0)</f>
        <v>#REF!</v>
      </c>
      <c r="I225" t="e">
        <f>IF(OR(#REF!="UP",#REF!="DOWN"),1,0)</f>
        <v>#REF!</v>
      </c>
      <c r="K225" s="7"/>
      <c r="M225" t="e">
        <f>IF(OR(#REF!="UP",#REF!="DOWN"),0,1)</f>
        <v>#REF!</v>
      </c>
      <c r="N225" t="e">
        <f>IF(OR(#REF!="UP",#REF!="DOWN"),VLOOKUP($C225,Configuración!$H$2:$K$11,3),1)</f>
        <v>#REF!</v>
      </c>
      <c r="O225" t="e">
        <f>IF(OR(#REF!="UP",#REF!="DOWN"),VLOOKUP($C225,Configuración!$H$2:$K$11,4),1)</f>
        <v>#REF!</v>
      </c>
      <c r="P225" t="e">
        <f t="shared" si="33"/>
        <v>#REF!</v>
      </c>
      <c r="Q225" t="e">
        <f t="shared" si="34"/>
        <v>#REF!</v>
      </c>
      <c r="R225" t="e">
        <f t="shared" si="32"/>
        <v>#REF!</v>
      </c>
      <c r="T225" t="e">
        <f>IF(R225&lt;&gt;0,Configuración!$E$2,0)</f>
        <v>#REF!</v>
      </c>
      <c r="U225" t="e">
        <f>IF(R225&lt;&gt;0,Configuración!$F$2,0)</f>
        <v>#REF!</v>
      </c>
      <c r="V225" t="e">
        <f>IF(R225&lt;&gt;0,Configuración!$G$2,0)</f>
        <v>#REF!</v>
      </c>
      <c r="W225" t="e">
        <f t="shared" si="35"/>
        <v>#REF!</v>
      </c>
      <c r="X225" t="e">
        <f t="shared" si="36"/>
        <v>#REF!</v>
      </c>
      <c r="Z225" t="e">
        <f t="shared" si="37"/>
        <v>#REF!</v>
      </c>
      <c r="AB225" t="e">
        <f t="shared" si="38"/>
        <v>#REF!</v>
      </c>
      <c r="AG225" t="e">
        <f t="shared" si="39"/>
        <v>#REF!</v>
      </c>
      <c r="AH225" s="5" t="e">
        <f t="shared" si="40"/>
        <v>#REF!</v>
      </c>
      <c r="AI225" t="e">
        <f t="shared" si="41"/>
        <v>#REF!</v>
      </c>
    </row>
    <row r="226" spans="1:35" x14ac:dyDescent="0.55000000000000004">
      <c r="C226" t="s">
        <v>28</v>
      </c>
      <c r="D226" t="e">
        <f>IF(COUNTIF(#REF!,"&lt;&gt;NAN")=0, 0, IF(AND(OR(#REF!=#REF!,#REF!="NAN"), OR(#REF!=#REF!,#REF!="NAN"), OR(#REF!=#REF!,#REF!="NAN")),#REF!, 0))</f>
        <v>#REF!</v>
      </c>
      <c r="E226" t="e">
        <f>IF(#REF!="NAN","",IF(
   AND(OR(#REF!=#REF!,#REF!="NAN"),
     OR(#REF!=#REF!,#REF!="NAN"),
     OR(#REF!=#REF!,#REF!="NAN")),
   1,
   0))</f>
        <v>#REF!</v>
      </c>
      <c r="F226" t="s">
        <v>51</v>
      </c>
      <c r="G226" t="e">
        <f>IF(OR(#REF!="UP",#REF!="DOWN"),1,0)</f>
        <v>#REF!</v>
      </c>
      <c r="H226" t="e">
        <f>IF(OR(#REF!="UP",#REF!="DOWN"),1,0)</f>
        <v>#REF!</v>
      </c>
      <c r="I226" t="e">
        <f>IF(OR(#REF!="UP",#REF!="DOWN"),1,0)</f>
        <v>#REF!</v>
      </c>
      <c r="K226" s="7"/>
      <c r="M226" t="e">
        <f>IF(OR(#REF!="UP",#REF!="DOWN"),0,1)</f>
        <v>#REF!</v>
      </c>
      <c r="N226" t="e">
        <f>IF(OR(#REF!="UP",#REF!="DOWN"),VLOOKUP($C226,Configuración!$H$2:$K$11,3),1)</f>
        <v>#REF!</v>
      </c>
      <c r="O226" t="e">
        <f>IF(OR(#REF!="UP",#REF!="DOWN"),VLOOKUP($C226,Configuración!$H$2:$K$11,4),1)</f>
        <v>#REF!</v>
      </c>
      <c r="P226" t="e">
        <f t="shared" si="33"/>
        <v>#REF!</v>
      </c>
      <c r="Q226" t="e">
        <f t="shared" si="34"/>
        <v>#REF!</v>
      </c>
      <c r="R226" t="e">
        <f t="shared" si="32"/>
        <v>#REF!</v>
      </c>
      <c r="T226" t="e">
        <f>IF(R226&lt;&gt;0,Configuración!$E$2,0)</f>
        <v>#REF!</v>
      </c>
      <c r="U226" t="e">
        <f>IF(R226&lt;&gt;0,Configuración!$F$2,0)</f>
        <v>#REF!</v>
      </c>
      <c r="V226" t="e">
        <f>IF(R226&lt;&gt;0,Configuración!$G$2,0)</f>
        <v>#REF!</v>
      </c>
      <c r="W226" t="e">
        <f t="shared" si="35"/>
        <v>#REF!</v>
      </c>
      <c r="X226" t="e">
        <f t="shared" si="36"/>
        <v>#REF!</v>
      </c>
      <c r="Z226" t="e">
        <f t="shared" si="37"/>
        <v>#REF!</v>
      </c>
      <c r="AB226" t="e">
        <f t="shared" si="38"/>
        <v>#REF!</v>
      </c>
      <c r="AG226" t="e">
        <f t="shared" si="39"/>
        <v>#REF!</v>
      </c>
      <c r="AH226" s="5" t="e">
        <f t="shared" si="40"/>
        <v>#REF!</v>
      </c>
      <c r="AI226" t="e">
        <f t="shared" si="41"/>
        <v>#REF!</v>
      </c>
    </row>
    <row r="227" spans="1:35" x14ac:dyDescent="0.55000000000000004">
      <c r="C227" t="s">
        <v>30</v>
      </c>
      <c r="D227" t="e">
        <f>IF(COUNTIF(#REF!,"&lt;&gt;NAN")=0, 0, IF(AND(OR(#REF!=#REF!,#REF!="NAN"), OR(#REF!=#REF!,#REF!="NAN"), OR(#REF!=#REF!,#REF!="NAN")),#REF!, 0))</f>
        <v>#REF!</v>
      </c>
      <c r="E227" t="e">
        <f>IF(#REF!="NAN","",IF(
   AND(OR(#REF!=#REF!,#REF!="NAN"),
     OR(#REF!=#REF!,#REF!="NAN"),
     OR(#REF!=#REF!,#REF!="NAN")),
   1,
   0))</f>
        <v>#REF!</v>
      </c>
      <c r="F227" t="s">
        <v>51</v>
      </c>
      <c r="G227" t="e">
        <f>IF(OR(#REF!="UP",#REF!="DOWN"),1,0)</f>
        <v>#REF!</v>
      </c>
      <c r="H227" t="e">
        <f>IF(OR(#REF!="UP",#REF!="DOWN"),1,0)</f>
        <v>#REF!</v>
      </c>
      <c r="I227" t="e">
        <f>IF(OR(#REF!="UP",#REF!="DOWN"),1,0)</f>
        <v>#REF!</v>
      </c>
      <c r="K227" s="7"/>
      <c r="M227" t="e">
        <f>IF(OR(#REF!="UP",#REF!="DOWN"),0,1)</f>
        <v>#REF!</v>
      </c>
      <c r="N227" t="e">
        <f>IF(OR(#REF!="UP",#REF!="DOWN"),VLOOKUP($C227,Configuración!$H$2:$K$11,3),1)</f>
        <v>#REF!</v>
      </c>
      <c r="O227" t="e">
        <f>IF(OR(#REF!="UP",#REF!="DOWN"),VLOOKUP($C227,Configuración!$H$2:$K$11,4),1)</f>
        <v>#REF!</v>
      </c>
      <c r="P227" t="e">
        <f t="shared" si="33"/>
        <v>#REF!</v>
      </c>
      <c r="Q227" t="e">
        <f t="shared" si="34"/>
        <v>#REF!</v>
      </c>
      <c r="R227" t="e">
        <f t="shared" si="32"/>
        <v>#REF!</v>
      </c>
      <c r="T227" t="e">
        <f>IF(R227&lt;&gt;0,Configuración!$E$2,0)</f>
        <v>#REF!</v>
      </c>
      <c r="U227" t="e">
        <f>IF(R227&lt;&gt;0,Configuración!$F$2,0)</f>
        <v>#REF!</v>
      </c>
      <c r="V227" t="e">
        <f>IF(R227&lt;&gt;0,Configuración!$G$2,0)</f>
        <v>#REF!</v>
      </c>
      <c r="W227" t="e">
        <f t="shared" si="35"/>
        <v>#REF!</v>
      </c>
      <c r="X227" t="e">
        <f t="shared" si="36"/>
        <v>#REF!</v>
      </c>
      <c r="Z227" t="e">
        <f t="shared" si="37"/>
        <v>#REF!</v>
      </c>
      <c r="AB227" t="e">
        <f t="shared" si="38"/>
        <v>#REF!</v>
      </c>
      <c r="AG227" t="e">
        <f t="shared" si="39"/>
        <v>#REF!</v>
      </c>
      <c r="AH227" s="5" t="e">
        <f t="shared" si="40"/>
        <v>#REF!</v>
      </c>
      <c r="AI227" t="e">
        <f t="shared" si="41"/>
        <v>#REF!</v>
      </c>
    </row>
    <row r="228" spans="1:35" x14ac:dyDescent="0.55000000000000004">
      <c r="C228" t="s">
        <v>29</v>
      </c>
      <c r="D228" t="e">
        <f>IF(COUNTIF(#REF!,"&lt;&gt;NAN")=0, 0, IF(AND(OR(#REF!=#REF!,#REF!="NAN"), OR(#REF!=#REF!,#REF!="NAN"), OR(#REF!=#REF!,#REF!="NAN")),#REF!, 0))</f>
        <v>#REF!</v>
      </c>
      <c r="E228" t="e">
        <f>IF(#REF!="NAN","",IF(
   AND(OR(#REF!=#REF!,#REF!="NAN"),
     OR(#REF!=#REF!,#REF!="NAN"),
     OR(#REF!=#REF!,#REF!="NAN")),
   1,
   0))</f>
        <v>#REF!</v>
      </c>
      <c r="F228" t="s">
        <v>37</v>
      </c>
      <c r="G228" t="e">
        <f>IF(OR(#REF!="UP",#REF!="DOWN"),1,0)</f>
        <v>#REF!</v>
      </c>
      <c r="H228" t="e">
        <f>IF(OR(#REF!="UP",#REF!="DOWN"),1,0)</f>
        <v>#REF!</v>
      </c>
      <c r="I228" t="e">
        <f>IF(OR(#REF!="UP",#REF!="DOWN"),1,0)</f>
        <v>#REF!</v>
      </c>
      <c r="K228" s="7"/>
      <c r="M228" t="e">
        <f>IF(OR(#REF!="UP",#REF!="DOWN"),0,1)</f>
        <v>#REF!</v>
      </c>
      <c r="N228" t="e">
        <f>IF(OR(#REF!="UP",#REF!="DOWN"),VLOOKUP($C228,Configuración!$H$2:$K$11,3),1)</f>
        <v>#REF!</v>
      </c>
      <c r="O228" t="e">
        <f>IF(OR(#REF!="UP",#REF!="DOWN"),VLOOKUP($C228,Configuración!$H$2:$K$11,4),1)</f>
        <v>#REF!</v>
      </c>
      <c r="P228" t="e">
        <f t="shared" si="33"/>
        <v>#REF!</v>
      </c>
      <c r="Q228" t="e">
        <f t="shared" si="34"/>
        <v>#REF!</v>
      </c>
      <c r="R228" t="e">
        <f t="shared" si="32"/>
        <v>#REF!</v>
      </c>
      <c r="T228" t="e">
        <f>IF(R228&lt;&gt;0,Configuración!$E$2,0)</f>
        <v>#REF!</v>
      </c>
      <c r="U228" t="e">
        <f>IF(R228&lt;&gt;0,Configuración!$F$2,0)</f>
        <v>#REF!</v>
      </c>
      <c r="V228" t="e">
        <f>IF(R228&lt;&gt;0,Configuración!$G$2,0)</f>
        <v>#REF!</v>
      </c>
      <c r="W228" t="e">
        <f t="shared" si="35"/>
        <v>#REF!</v>
      </c>
      <c r="X228" t="e">
        <f t="shared" si="36"/>
        <v>#REF!</v>
      </c>
      <c r="Z228" t="e">
        <f t="shared" si="37"/>
        <v>#REF!</v>
      </c>
      <c r="AB228" t="e">
        <f t="shared" si="38"/>
        <v>#REF!</v>
      </c>
      <c r="AG228" t="e">
        <f t="shared" si="39"/>
        <v>#REF!</v>
      </c>
      <c r="AH228" s="5" t="e">
        <f t="shared" si="40"/>
        <v>#REF!</v>
      </c>
      <c r="AI228" t="e">
        <f t="shared" si="41"/>
        <v>#REF!</v>
      </c>
    </row>
    <row r="229" spans="1:35" x14ac:dyDescent="0.55000000000000004">
      <c r="C229" t="s">
        <v>31</v>
      </c>
      <c r="D229" t="e">
        <f>IF(COUNTIF(#REF!,"&lt;&gt;NAN")=0, 0, IF(AND(OR(#REF!=#REF!,#REF!="NAN"), OR(#REF!=#REF!,#REF!="NAN"), OR(#REF!=#REF!,#REF!="NAN")),#REF!, 0))</f>
        <v>#REF!</v>
      </c>
      <c r="E229" t="e">
        <f>IF(#REF!="NAN","",IF(
   AND(OR(#REF!=#REF!,#REF!="NAN"),
     OR(#REF!=#REF!,#REF!="NAN"),
     OR(#REF!=#REF!,#REF!="NAN")),
   1,
   0))</f>
        <v>#REF!</v>
      </c>
      <c r="F229" t="s">
        <v>37</v>
      </c>
      <c r="G229" t="e">
        <f>IF(OR(#REF!="UP",#REF!="DOWN"),1,0)</f>
        <v>#REF!</v>
      </c>
      <c r="H229" t="e">
        <f>IF(OR(#REF!="UP",#REF!="DOWN"),1,0)</f>
        <v>#REF!</v>
      </c>
      <c r="I229" t="e">
        <f>IF(OR(#REF!="UP",#REF!="DOWN"),1,0)</f>
        <v>#REF!</v>
      </c>
      <c r="K229" s="7"/>
      <c r="M229" t="e">
        <f>IF(OR(#REF!="UP",#REF!="DOWN"),0,1)</f>
        <v>#REF!</v>
      </c>
      <c r="N229" t="e">
        <f>IF(OR(#REF!="UP",#REF!="DOWN"),VLOOKUP($C229,Configuración!$H$2:$K$11,3),1)</f>
        <v>#REF!</v>
      </c>
      <c r="O229" t="e">
        <f>IF(OR(#REF!="UP",#REF!="DOWN"),VLOOKUP($C229,Configuración!$H$2:$K$11,4),1)</f>
        <v>#REF!</v>
      </c>
      <c r="P229" t="e">
        <f t="shared" si="33"/>
        <v>#REF!</v>
      </c>
      <c r="Q229" t="e">
        <f t="shared" si="34"/>
        <v>#REF!</v>
      </c>
      <c r="R229" t="e">
        <f t="shared" si="32"/>
        <v>#REF!</v>
      </c>
      <c r="T229" t="e">
        <f>IF(R229&lt;&gt;0,Configuración!$E$2,0)</f>
        <v>#REF!</v>
      </c>
      <c r="U229" t="e">
        <f>IF(R229&lt;&gt;0,Configuración!$F$2,0)</f>
        <v>#REF!</v>
      </c>
      <c r="V229" t="e">
        <f>IF(R229&lt;&gt;0,Configuración!$G$2,0)</f>
        <v>#REF!</v>
      </c>
      <c r="W229" t="e">
        <f t="shared" si="35"/>
        <v>#REF!</v>
      </c>
      <c r="X229" t="e">
        <f t="shared" si="36"/>
        <v>#REF!</v>
      </c>
      <c r="Z229" t="e">
        <f t="shared" si="37"/>
        <v>#REF!</v>
      </c>
      <c r="AB229" t="e">
        <f t="shared" si="38"/>
        <v>#REF!</v>
      </c>
      <c r="AG229" t="e">
        <f t="shared" si="39"/>
        <v>#REF!</v>
      </c>
      <c r="AH229" s="5" t="e">
        <f t="shared" si="40"/>
        <v>#REF!</v>
      </c>
      <c r="AI229" t="e">
        <f t="shared" si="41"/>
        <v>#REF!</v>
      </c>
    </row>
    <row r="230" spans="1:35" x14ac:dyDescent="0.55000000000000004">
      <c r="A230">
        <v>27102025</v>
      </c>
      <c r="C230" t="s">
        <v>32</v>
      </c>
      <c r="D230" t="e">
        <f>IF(COUNTIF(#REF!,"&lt;&gt;NAN")=0, 0, IF(AND(OR(#REF!=#REF!,#REF!="NAN"), OR(#REF!=#REF!,#REF!="NAN"), OR(#REF!=#REF!,#REF!="NAN")),#REF!, 0))</f>
        <v>#REF!</v>
      </c>
      <c r="E230" t="e">
        <f>IF(#REF!="NAN","",IF(
   AND(OR(#REF!=#REF!,#REF!="NAN"),
     OR(#REF!=#REF!,#REF!="NAN"),
     OR(#REF!=#REF!,#REF!="NAN")),
   1,
   0))</f>
        <v>#REF!</v>
      </c>
      <c r="F230" t="s">
        <v>51</v>
      </c>
      <c r="G230" t="e">
        <f>IF(OR(#REF!="UP",#REF!="DOWN"),1,0)</f>
        <v>#REF!</v>
      </c>
      <c r="H230" t="e">
        <f>IF(OR(#REF!="UP",#REF!="DOWN"),1,0)</f>
        <v>#REF!</v>
      </c>
      <c r="I230" t="e">
        <f>IF(OR(#REF!="UP",#REF!="DOWN"),1,0)</f>
        <v>#REF!</v>
      </c>
      <c r="J230" t="s">
        <v>37</v>
      </c>
      <c r="M230" t="e">
        <f>IF(OR(#REF!="UP",#REF!="DOWN"),0,1)</f>
        <v>#REF!</v>
      </c>
      <c r="N230" t="e">
        <f>IF(OR(#REF!="UP",#REF!="DOWN"),VLOOKUP($C230,Configuración!$H$2:$K$11,3),1)</f>
        <v>#REF!</v>
      </c>
      <c r="O230" t="e">
        <f>IF(OR(#REF!="UP",#REF!="DOWN"),VLOOKUP($C230,Configuración!$H$2:$K$11,4),1)</f>
        <v>#REF!</v>
      </c>
      <c r="P230" t="e">
        <f t="shared" si="33"/>
        <v>#REF!</v>
      </c>
      <c r="Q230" t="e">
        <f t="shared" si="34"/>
        <v>#REF!</v>
      </c>
      <c r="R230" t="e">
        <f t="shared" si="32"/>
        <v>#REF!</v>
      </c>
      <c r="T230" t="e">
        <f>IF(R230&lt;&gt;0,Configuración!$E$2,0)</f>
        <v>#REF!</v>
      </c>
      <c r="U230" t="e">
        <f>IF(R230&lt;&gt;0,Configuración!$F$2,0)</f>
        <v>#REF!</v>
      </c>
      <c r="V230" t="e">
        <f>IF(R230&lt;&gt;0,Configuración!$G$2,0)</f>
        <v>#REF!</v>
      </c>
      <c r="W230" t="e">
        <f t="shared" si="35"/>
        <v>#REF!</v>
      </c>
      <c r="X230" t="e">
        <f t="shared" si="36"/>
        <v>#REF!</v>
      </c>
      <c r="Z230" t="e">
        <f t="shared" si="37"/>
        <v>#REF!</v>
      </c>
      <c r="AB230" t="e">
        <f t="shared" si="38"/>
        <v>#REF!</v>
      </c>
      <c r="AG230" t="e">
        <f t="shared" si="39"/>
        <v>#REF!</v>
      </c>
      <c r="AH230" s="5" t="e">
        <f t="shared" si="40"/>
        <v>#REF!</v>
      </c>
      <c r="AI230" t="e">
        <f t="shared" si="41"/>
        <v>#REF!</v>
      </c>
    </row>
    <row r="231" spans="1:35" x14ac:dyDescent="0.55000000000000004">
      <c r="C231" t="s">
        <v>26</v>
      </c>
      <c r="D231" t="e">
        <f>IF(COUNTIF(#REF!,"&lt;&gt;NAN")=0, 0, IF(AND(OR(#REF!=#REF!,#REF!="NAN"), OR(#REF!=#REF!,#REF!="NAN"), OR(#REF!=#REF!,#REF!="NAN")),#REF!, 0))</f>
        <v>#REF!</v>
      </c>
      <c r="E231" t="e">
        <f>IF(#REF!="NAN","",IF(
   AND(OR(#REF!=#REF!,#REF!="NAN"),
     OR(#REF!=#REF!,#REF!="NAN"),
     OR(#REF!=#REF!,#REF!="NAN")),
   1,
   0))</f>
        <v>#REF!</v>
      </c>
      <c r="F231" t="s">
        <v>37</v>
      </c>
      <c r="G231" t="e">
        <f>IF(OR(#REF!="UP",#REF!="DOWN"),1,0)</f>
        <v>#REF!</v>
      </c>
      <c r="H231" t="e">
        <f>IF(OR(#REF!="UP",#REF!="DOWN"),1,0)</f>
        <v>#REF!</v>
      </c>
      <c r="I231" t="e">
        <f>IF(OR(#REF!="UP",#REF!="DOWN"),1,0)</f>
        <v>#REF!</v>
      </c>
      <c r="J231" t="s">
        <v>37</v>
      </c>
      <c r="M231" t="e">
        <f>IF(OR(#REF!="UP",#REF!="DOWN"),0,1)</f>
        <v>#REF!</v>
      </c>
      <c r="N231" t="e">
        <f>IF(OR(#REF!="UP",#REF!="DOWN"),VLOOKUP($C231,Configuración!$H$2:$K$11,3),1)</f>
        <v>#REF!</v>
      </c>
      <c r="O231" t="e">
        <f>IF(OR(#REF!="UP",#REF!="DOWN"),VLOOKUP($C231,Configuración!$H$2:$K$11,4),1)</f>
        <v>#REF!</v>
      </c>
      <c r="P231" t="e">
        <f t="shared" si="33"/>
        <v>#REF!</v>
      </c>
      <c r="Q231" t="e">
        <f t="shared" si="34"/>
        <v>#REF!</v>
      </c>
      <c r="R231" t="e">
        <f t="shared" si="32"/>
        <v>#REF!</v>
      </c>
      <c r="T231" t="e">
        <f>IF(R231&lt;&gt;0,Configuración!$E$2,0)</f>
        <v>#REF!</v>
      </c>
      <c r="U231" t="e">
        <f>IF(R231&lt;&gt;0,Configuración!$F$2,0)</f>
        <v>#REF!</v>
      </c>
      <c r="V231" t="e">
        <f>IF(R231&lt;&gt;0,Configuración!$G$2,0)</f>
        <v>#REF!</v>
      </c>
      <c r="W231" t="e">
        <f t="shared" si="35"/>
        <v>#REF!</v>
      </c>
      <c r="X231" t="e">
        <f t="shared" si="36"/>
        <v>#REF!</v>
      </c>
      <c r="Z231" t="e">
        <f t="shared" si="37"/>
        <v>#REF!</v>
      </c>
      <c r="AB231" t="e">
        <f t="shared" si="38"/>
        <v>#REF!</v>
      </c>
      <c r="AG231" t="e">
        <f t="shared" si="39"/>
        <v>#REF!</v>
      </c>
      <c r="AH231" s="5" t="e">
        <f t="shared" si="40"/>
        <v>#REF!</v>
      </c>
      <c r="AI231" t="e">
        <f t="shared" si="41"/>
        <v>#REF!</v>
      </c>
    </row>
    <row r="232" spans="1:35" x14ac:dyDescent="0.55000000000000004">
      <c r="C232" t="s">
        <v>33</v>
      </c>
      <c r="D232" t="e">
        <f>IF(COUNTIF(#REF!,"&lt;&gt;NAN")=0, 0, IF(AND(OR(#REF!=#REF!,#REF!="NAN"), OR(#REF!=#REF!,#REF!="NAN"), OR(#REF!=#REF!,#REF!="NAN")),#REF!, 0))</f>
        <v>#REF!</v>
      </c>
      <c r="E232" t="e">
        <f>IF(#REF!="NAN","",IF(
   AND(OR(#REF!=#REF!,#REF!="NAN"),
     OR(#REF!=#REF!,#REF!="NAN"),
     OR(#REF!=#REF!,#REF!="NAN")),
   1,
   0))</f>
        <v>#REF!</v>
      </c>
      <c r="F232" t="s">
        <v>51</v>
      </c>
      <c r="G232" t="e">
        <f>IF(OR(#REF!="UP",#REF!="DOWN"),1,0)</f>
        <v>#REF!</v>
      </c>
      <c r="H232" t="e">
        <f>IF(OR(#REF!="UP",#REF!="DOWN"),1,0)</f>
        <v>#REF!</v>
      </c>
      <c r="I232" t="e">
        <f>IF(OR(#REF!="UP",#REF!="DOWN"),1,0)</f>
        <v>#REF!</v>
      </c>
      <c r="J232" t="s">
        <v>51</v>
      </c>
      <c r="M232" t="e">
        <f>IF(OR(#REF!="UP",#REF!="DOWN"),0,1)</f>
        <v>#REF!</v>
      </c>
      <c r="N232" t="e">
        <f>IF(OR(#REF!="UP",#REF!="DOWN"),VLOOKUP($C232,Configuración!$H$2:$K$11,3),1)</f>
        <v>#REF!</v>
      </c>
      <c r="O232" t="e">
        <f>IF(OR(#REF!="UP",#REF!="DOWN"),VLOOKUP($C232,Configuración!$H$2:$K$11,4),1)</f>
        <v>#REF!</v>
      </c>
      <c r="P232" t="e">
        <f t="shared" si="33"/>
        <v>#REF!</v>
      </c>
      <c r="Q232" t="e">
        <f t="shared" si="34"/>
        <v>#REF!</v>
      </c>
      <c r="R232" t="e">
        <f t="shared" si="32"/>
        <v>#REF!</v>
      </c>
      <c r="T232" t="e">
        <f>IF(R232&lt;&gt;0,Configuración!$E$2,0)</f>
        <v>#REF!</v>
      </c>
      <c r="U232" t="e">
        <f>IF(R232&lt;&gt;0,Configuración!$F$2,0)</f>
        <v>#REF!</v>
      </c>
      <c r="V232" t="e">
        <f>IF(R232&lt;&gt;0,Configuración!$G$2,0)</f>
        <v>#REF!</v>
      </c>
      <c r="W232" t="e">
        <f t="shared" si="35"/>
        <v>#REF!</v>
      </c>
      <c r="X232" t="e">
        <f t="shared" si="36"/>
        <v>#REF!</v>
      </c>
      <c r="Z232" t="e">
        <f t="shared" si="37"/>
        <v>#REF!</v>
      </c>
      <c r="AB232" t="e">
        <f t="shared" si="38"/>
        <v>#REF!</v>
      </c>
      <c r="AG232" t="e">
        <f t="shared" si="39"/>
        <v>#REF!</v>
      </c>
      <c r="AH232" s="5" t="e">
        <f t="shared" si="40"/>
        <v>#REF!</v>
      </c>
      <c r="AI232" t="e">
        <f t="shared" si="41"/>
        <v>#REF!</v>
      </c>
    </row>
    <row r="233" spans="1:35" x14ac:dyDescent="0.55000000000000004">
      <c r="C233" t="s">
        <v>35</v>
      </c>
      <c r="D233" t="e">
        <f>IF(COUNTIF(#REF!,"&lt;&gt;NAN")=0, 0, IF(AND(OR(#REF!=#REF!,#REF!="NAN"), OR(#REF!=#REF!,#REF!="NAN"), OR(#REF!=#REF!,#REF!="NAN")),#REF!, 0))</f>
        <v>#REF!</v>
      </c>
      <c r="E233" t="e">
        <f>IF(#REF!="NAN","",IF(
   AND(OR(#REF!=#REF!,#REF!="NAN"),
     OR(#REF!=#REF!,#REF!="NAN"),
     OR(#REF!=#REF!,#REF!="NAN")),
   1,
   0))</f>
        <v>#REF!</v>
      </c>
      <c r="F233" t="s">
        <v>51</v>
      </c>
      <c r="G233" t="e">
        <f>IF(OR(#REF!="UP",#REF!="DOWN"),1,0)</f>
        <v>#REF!</v>
      </c>
      <c r="H233" t="e">
        <f>IF(OR(#REF!="UP",#REF!="DOWN"),1,0)</f>
        <v>#REF!</v>
      </c>
      <c r="I233" t="e">
        <f>IF(OR(#REF!="UP",#REF!="DOWN"),1,0)</f>
        <v>#REF!</v>
      </c>
      <c r="J233" t="s">
        <v>51</v>
      </c>
      <c r="M233" t="e">
        <f>IF(OR(#REF!="UP",#REF!="DOWN"),0,1)</f>
        <v>#REF!</v>
      </c>
      <c r="N233" t="e">
        <f>IF(OR(#REF!="UP",#REF!="DOWN"),VLOOKUP($C233,Configuración!$H$2:$K$11,3),1)</f>
        <v>#REF!</v>
      </c>
      <c r="O233" t="e">
        <f>IF(OR(#REF!="UP",#REF!="DOWN"),VLOOKUP($C233,Configuración!$H$2:$K$11,4),1)</f>
        <v>#REF!</v>
      </c>
      <c r="P233" t="e">
        <f t="shared" si="33"/>
        <v>#REF!</v>
      </c>
      <c r="Q233" t="e">
        <f t="shared" si="34"/>
        <v>#REF!</v>
      </c>
      <c r="R233" t="e">
        <f t="shared" si="32"/>
        <v>#REF!</v>
      </c>
      <c r="T233" t="e">
        <f>IF(R233&lt;&gt;0,Configuración!$E$2,0)</f>
        <v>#REF!</v>
      </c>
      <c r="U233" t="e">
        <f>IF(R233&lt;&gt;0,Configuración!$F$2,0)</f>
        <v>#REF!</v>
      </c>
      <c r="V233" t="e">
        <f>IF(R233&lt;&gt;0,Configuración!$G$2,0)</f>
        <v>#REF!</v>
      </c>
      <c r="W233" t="e">
        <f t="shared" si="35"/>
        <v>#REF!</v>
      </c>
      <c r="X233" t="e">
        <f t="shared" si="36"/>
        <v>#REF!</v>
      </c>
      <c r="Z233" t="e">
        <f t="shared" si="37"/>
        <v>#REF!</v>
      </c>
      <c r="AB233" t="e">
        <f t="shared" si="38"/>
        <v>#REF!</v>
      </c>
      <c r="AG233" t="e">
        <f t="shared" si="39"/>
        <v>#REF!</v>
      </c>
      <c r="AH233" s="5" t="e">
        <f t="shared" si="40"/>
        <v>#REF!</v>
      </c>
      <c r="AI233" t="e">
        <f t="shared" si="41"/>
        <v>#REF!</v>
      </c>
    </row>
    <row r="234" spans="1:35" x14ac:dyDescent="0.55000000000000004">
      <c r="C234" t="s">
        <v>34</v>
      </c>
      <c r="D234" t="e">
        <f>IF(COUNTIF(#REF!,"&lt;&gt;NAN")=0, 0, IF(AND(OR(#REF!=#REF!,#REF!="NAN"), OR(#REF!=#REF!,#REF!="NAN"), OR(#REF!=#REF!,#REF!="NAN")),#REF!, 0))</f>
        <v>#REF!</v>
      </c>
      <c r="E234" t="e">
        <f>IF(#REF!="NAN","",IF(
   AND(OR(#REF!=#REF!,#REF!="NAN"),
     OR(#REF!=#REF!,#REF!="NAN"),
     OR(#REF!=#REF!,#REF!="NAN")),
   1,
   0))</f>
        <v>#REF!</v>
      </c>
      <c r="F234" t="s">
        <v>51</v>
      </c>
      <c r="G234" t="e">
        <f>IF(OR(#REF!="UP",#REF!="DOWN"),1,0)</f>
        <v>#REF!</v>
      </c>
      <c r="H234" t="e">
        <f>IF(OR(#REF!="UP",#REF!="DOWN"),1,0)</f>
        <v>#REF!</v>
      </c>
      <c r="I234" t="e">
        <f>IF(OR(#REF!="UP",#REF!="DOWN"),1,0)</f>
        <v>#REF!</v>
      </c>
      <c r="J234" t="s">
        <v>51</v>
      </c>
      <c r="M234" t="e">
        <f>IF(OR(#REF!="UP",#REF!="DOWN"),0,1)</f>
        <v>#REF!</v>
      </c>
      <c r="N234" t="e">
        <f>IF(OR(#REF!="UP",#REF!="DOWN"),VLOOKUP($C234,Configuración!$H$2:$K$11,3),1)</f>
        <v>#REF!</v>
      </c>
      <c r="O234" t="e">
        <f>IF(OR(#REF!="UP",#REF!="DOWN"),VLOOKUP($C234,Configuración!$H$2:$K$11,4),1)</f>
        <v>#REF!</v>
      </c>
      <c r="P234" t="e">
        <f t="shared" si="33"/>
        <v>#REF!</v>
      </c>
      <c r="Q234" t="e">
        <f t="shared" si="34"/>
        <v>#REF!</v>
      </c>
      <c r="R234" t="e">
        <f t="shared" si="32"/>
        <v>#REF!</v>
      </c>
      <c r="T234" t="e">
        <f>IF(R234&lt;&gt;0,Configuración!$E$2,0)</f>
        <v>#REF!</v>
      </c>
      <c r="U234" t="e">
        <f>IF(R234&lt;&gt;0,Configuración!$F$2,0)</f>
        <v>#REF!</v>
      </c>
      <c r="V234" t="e">
        <f>IF(R234&lt;&gt;0,Configuración!$G$2,0)</f>
        <v>#REF!</v>
      </c>
      <c r="W234" t="e">
        <f t="shared" si="35"/>
        <v>#REF!</v>
      </c>
      <c r="X234" t="e">
        <f t="shared" si="36"/>
        <v>#REF!</v>
      </c>
      <c r="Z234" t="e">
        <f t="shared" si="37"/>
        <v>#REF!</v>
      </c>
      <c r="AB234" t="e">
        <f t="shared" si="38"/>
        <v>#REF!</v>
      </c>
      <c r="AG234" t="e">
        <f t="shared" si="39"/>
        <v>#REF!</v>
      </c>
      <c r="AH234" s="5" t="e">
        <f t="shared" si="40"/>
        <v>#REF!</v>
      </c>
      <c r="AI234" t="e">
        <f t="shared" si="41"/>
        <v>#REF!</v>
      </c>
    </row>
    <row r="235" spans="1:35" x14ac:dyDescent="0.55000000000000004">
      <c r="C235" t="s">
        <v>27</v>
      </c>
      <c r="D235" t="e">
        <f>IF(COUNTIF(#REF!,"&lt;&gt;NAN")=0, 0, IF(AND(OR(#REF!=#REF!,#REF!="NAN"), OR(#REF!=#REF!,#REF!="NAN"), OR(#REF!=#REF!,#REF!="NAN")),#REF!, 0))</f>
        <v>#REF!</v>
      </c>
      <c r="E235" t="e">
        <f>IF(#REF!="NAN","",IF(
   AND(OR(#REF!=#REF!,#REF!="NAN"),
     OR(#REF!=#REF!,#REF!="NAN"),
     OR(#REF!=#REF!,#REF!="NAN")),
   1,
   0))</f>
        <v>#REF!</v>
      </c>
      <c r="F235" t="s">
        <v>51</v>
      </c>
      <c r="G235" t="e">
        <f>IF(OR(#REF!="UP",#REF!="DOWN"),1,0)</f>
        <v>#REF!</v>
      </c>
      <c r="H235" t="e">
        <f>IF(OR(#REF!="UP",#REF!="DOWN"),1,0)</f>
        <v>#REF!</v>
      </c>
      <c r="I235" t="e">
        <f>IF(OR(#REF!="UP",#REF!="DOWN"),1,0)</f>
        <v>#REF!</v>
      </c>
      <c r="J235" t="s">
        <v>51</v>
      </c>
      <c r="M235" t="e">
        <f>IF(OR(#REF!="UP",#REF!="DOWN"),0,1)</f>
        <v>#REF!</v>
      </c>
      <c r="N235" t="e">
        <f>IF(OR(#REF!="UP",#REF!="DOWN"),VLOOKUP($C235,Configuración!$H$2:$K$11,3),1)</f>
        <v>#REF!</v>
      </c>
      <c r="O235" t="e">
        <f>IF(OR(#REF!="UP",#REF!="DOWN"),VLOOKUP($C235,Configuración!$H$2:$K$11,4),1)</f>
        <v>#REF!</v>
      </c>
      <c r="P235" t="e">
        <f t="shared" si="33"/>
        <v>#REF!</v>
      </c>
      <c r="Q235" t="e">
        <f t="shared" si="34"/>
        <v>#REF!</v>
      </c>
      <c r="R235" t="e">
        <f t="shared" si="32"/>
        <v>#REF!</v>
      </c>
      <c r="T235" t="e">
        <f>IF(R235&lt;&gt;0,Configuración!$E$2,0)</f>
        <v>#REF!</v>
      </c>
      <c r="U235" t="e">
        <f>IF(R235&lt;&gt;0,Configuración!$F$2,0)</f>
        <v>#REF!</v>
      </c>
      <c r="V235" t="e">
        <f>IF(R235&lt;&gt;0,Configuración!$G$2,0)</f>
        <v>#REF!</v>
      </c>
      <c r="W235" t="e">
        <f t="shared" si="35"/>
        <v>#REF!</v>
      </c>
      <c r="X235" t="e">
        <f t="shared" si="36"/>
        <v>#REF!</v>
      </c>
      <c r="Z235" t="e">
        <f t="shared" si="37"/>
        <v>#REF!</v>
      </c>
      <c r="AB235" t="e">
        <f t="shared" si="38"/>
        <v>#REF!</v>
      </c>
      <c r="AG235" t="e">
        <f t="shared" si="39"/>
        <v>#REF!</v>
      </c>
      <c r="AH235" s="5" t="e">
        <f t="shared" si="40"/>
        <v>#REF!</v>
      </c>
      <c r="AI235" t="e">
        <f t="shared" si="41"/>
        <v>#REF!</v>
      </c>
    </row>
    <row r="236" spans="1:35" x14ac:dyDescent="0.55000000000000004">
      <c r="C236" t="s">
        <v>28</v>
      </c>
      <c r="D236" t="e">
        <f>IF(COUNTIF(#REF!,"&lt;&gt;NAN")=0, 0, IF(AND(OR(#REF!=#REF!,#REF!="NAN"), OR(#REF!=#REF!,#REF!="NAN"), OR(#REF!=#REF!,#REF!="NAN")),#REF!, 0))</f>
        <v>#REF!</v>
      </c>
      <c r="E236" t="e">
        <f>IF(#REF!="NAN","",IF(
   AND(OR(#REF!=#REF!,#REF!="NAN"),
     OR(#REF!=#REF!,#REF!="NAN"),
     OR(#REF!=#REF!,#REF!="NAN")),
   1,
   0))</f>
        <v>#REF!</v>
      </c>
      <c r="F236" t="s">
        <v>37</v>
      </c>
      <c r="G236" t="e">
        <f>IF(OR(#REF!="UP",#REF!="DOWN"),1,0)</f>
        <v>#REF!</v>
      </c>
      <c r="H236" t="e">
        <f>IF(OR(#REF!="UP",#REF!="DOWN"),1,0)</f>
        <v>#REF!</v>
      </c>
      <c r="I236" t="e">
        <f>IF(OR(#REF!="UP",#REF!="DOWN"),1,0)</f>
        <v>#REF!</v>
      </c>
      <c r="J236" t="s">
        <v>38</v>
      </c>
      <c r="M236" t="e">
        <f>IF(OR(#REF!="UP",#REF!="DOWN"),0,1)</f>
        <v>#REF!</v>
      </c>
      <c r="N236" t="e">
        <f>IF(OR(#REF!="UP",#REF!="DOWN"),VLOOKUP($C236,Configuración!$H$2:$K$11,3),1)</f>
        <v>#REF!</v>
      </c>
      <c r="O236" t="e">
        <f>IF(OR(#REF!="UP",#REF!="DOWN"),VLOOKUP($C236,Configuración!$H$2:$K$11,4),1)</f>
        <v>#REF!</v>
      </c>
      <c r="P236" t="e">
        <f t="shared" si="33"/>
        <v>#REF!</v>
      </c>
      <c r="Q236" t="e">
        <f t="shared" si="34"/>
        <v>#REF!</v>
      </c>
      <c r="R236" t="e">
        <f t="shared" si="32"/>
        <v>#REF!</v>
      </c>
      <c r="T236" t="e">
        <f>IF(R236&lt;&gt;0,Configuración!$E$2,0)</f>
        <v>#REF!</v>
      </c>
      <c r="U236" t="e">
        <f>IF(R236&lt;&gt;0,Configuración!$F$2,0)</f>
        <v>#REF!</v>
      </c>
      <c r="V236" t="e">
        <f>IF(R236&lt;&gt;0,Configuración!$G$2,0)</f>
        <v>#REF!</v>
      </c>
      <c r="W236" t="e">
        <f t="shared" si="35"/>
        <v>#REF!</v>
      </c>
      <c r="X236" t="e">
        <f t="shared" si="36"/>
        <v>#REF!</v>
      </c>
      <c r="Z236" t="e">
        <f t="shared" si="37"/>
        <v>#REF!</v>
      </c>
      <c r="AB236" t="e">
        <f t="shared" si="38"/>
        <v>#REF!</v>
      </c>
      <c r="AG236" t="e">
        <f t="shared" si="39"/>
        <v>#REF!</v>
      </c>
      <c r="AH236" s="5" t="e">
        <f t="shared" si="40"/>
        <v>#REF!</v>
      </c>
      <c r="AI236" t="e">
        <f t="shared" si="41"/>
        <v>#REF!</v>
      </c>
    </row>
    <row r="237" spans="1:35" x14ac:dyDescent="0.55000000000000004">
      <c r="C237" t="s">
        <v>30</v>
      </c>
      <c r="D237" t="e">
        <f>IF(COUNTIF(#REF!,"&lt;&gt;NAN")=0, 0, IF(AND(OR(#REF!=#REF!,#REF!="NAN"), OR(#REF!=#REF!,#REF!="NAN"), OR(#REF!=#REF!,#REF!="NAN")),#REF!, 0))</f>
        <v>#REF!</v>
      </c>
      <c r="E237" t="e">
        <f>IF(#REF!="NAN","",IF(
   AND(OR(#REF!=#REF!,#REF!="NAN"),
     OR(#REF!=#REF!,#REF!="NAN"),
     OR(#REF!=#REF!,#REF!="NAN")),
   1,
   0))</f>
        <v>#REF!</v>
      </c>
      <c r="F237" t="s">
        <v>51</v>
      </c>
      <c r="G237" t="e">
        <f>IF(OR(#REF!="UP",#REF!="DOWN"),1,0)</f>
        <v>#REF!</v>
      </c>
      <c r="H237" t="e">
        <f>IF(OR(#REF!="UP",#REF!="DOWN"),1,0)</f>
        <v>#REF!</v>
      </c>
      <c r="I237" t="e">
        <f>IF(OR(#REF!="UP",#REF!="DOWN"),1,0)</f>
        <v>#REF!</v>
      </c>
      <c r="J237" t="s">
        <v>51</v>
      </c>
      <c r="M237" t="e">
        <f>IF(OR(#REF!="UP",#REF!="DOWN"),0,1)</f>
        <v>#REF!</v>
      </c>
      <c r="N237" t="e">
        <f>IF(OR(#REF!="UP",#REF!="DOWN"),VLOOKUP($C237,Configuración!$H$2:$K$11,3),1)</f>
        <v>#REF!</v>
      </c>
      <c r="O237" t="e">
        <f>IF(OR(#REF!="UP",#REF!="DOWN"),VLOOKUP($C237,Configuración!$H$2:$K$11,4),1)</f>
        <v>#REF!</v>
      </c>
      <c r="P237" t="e">
        <f t="shared" si="33"/>
        <v>#REF!</v>
      </c>
      <c r="Q237" t="e">
        <f t="shared" si="34"/>
        <v>#REF!</v>
      </c>
      <c r="R237" t="e">
        <f t="shared" si="32"/>
        <v>#REF!</v>
      </c>
      <c r="T237" t="e">
        <f>IF(R237&lt;&gt;0,Configuración!$E$2,0)</f>
        <v>#REF!</v>
      </c>
      <c r="U237" t="e">
        <f>IF(R237&lt;&gt;0,Configuración!$F$2,0)</f>
        <v>#REF!</v>
      </c>
      <c r="V237" t="e">
        <f>IF(R237&lt;&gt;0,Configuración!$G$2,0)</f>
        <v>#REF!</v>
      </c>
      <c r="W237" t="e">
        <f t="shared" si="35"/>
        <v>#REF!</v>
      </c>
      <c r="X237" t="e">
        <f t="shared" si="36"/>
        <v>#REF!</v>
      </c>
      <c r="Z237" t="e">
        <f t="shared" si="37"/>
        <v>#REF!</v>
      </c>
      <c r="AB237" t="e">
        <f t="shared" si="38"/>
        <v>#REF!</v>
      </c>
      <c r="AG237" t="e">
        <f t="shared" si="39"/>
        <v>#REF!</v>
      </c>
      <c r="AH237" s="5" t="e">
        <f t="shared" si="40"/>
        <v>#REF!</v>
      </c>
      <c r="AI237" t="e">
        <f t="shared" si="41"/>
        <v>#REF!</v>
      </c>
    </row>
    <row r="238" spans="1:35" x14ac:dyDescent="0.55000000000000004">
      <c r="A238">
        <v>28102025</v>
      </c>
      <c r="C238" t="s">
        <v>32</v>
      </c>
      <c r="D238" t="e">
        <f>IF(COUNTIF(#REF!,"&lt;&gt;NAN")=0, 0, IF(AND(OR(#REF!=#REF!,#REF!="NAN"), OR(#REF!=#REF!,#REF!="NAN"), OR(#REF!=#REF!,#REF!="NAN")),#REF!, 0))</f>
        <v>#REF!</v>
      </c>
      <c r="E238" t="e">
        <f>IF(#REF!="NAN","",IF(
   AND(OR(#REF!=#REF!,#REF!="NAN"),
     OR(#REF!=#REF!,#REF!="NAN"),
     OR(#REF!=#REF!,#REF!="NAN")),
   1,
   0))</f>
        <v>#REF!</v>
      </c>
      <c r="F238" t="s">
        <v>51</v>
      </c>
      <c r="G238" t="e">
        <f>IF(OR(#REF!="UP",#REF!="DOWN"),1,0)</f>
        <v>#REF!</v>
      </c>
      <c r="H238" t="e">
        <f>IF(OR(#REF!="UP",#REF!="DOWN"),1,0)</f>
        <v>#REF!</v>
      </c>
      <c r="I238" t="e">
        <f>IF(OR(#REF!="UP",#REF!="DOWN"),1,0)</f>
        <v>#REF!</v>
      </c>
      <c r="J238" t="s">
        <v>51</v>
      </c>
      <c r="M238" t="e">
        <f>IF(OR(#REF!="UP",#REF!="DOWN"),0,1)</f>
        <v>#REF!</v>
      </c>
      <c r="N238" t="e">
        <f>IF(OR(#REF!="UP",#REF!="DOWN"),VLOOKUP($C238,Configuración!$H$2:$K$11,3),1)</f>
        <v>#REF!</v>
      </c>
      <c r="O238" t="e">
        <f>IF(OR(#REF!="UP",#REF!="DOWN"),VLOOKUP($C238,Configuración!$H$2:$K$11,4),1)</f>
        <v>#REF!</v>
      </c>
      <c r="P238" t="e">
        <f t="shared" si="33"/>
        <v>#REF!</v>
      </c>
      <c r="Q238" t="e">
        <f t="shared" si="34"/>
        <v>#REF!</v>
      </c>
      <c r="R238" t="e">
        <f t="shared" si="32"/>
        <v>#REF!</v>
      </c>
      <c r="T238" t="e">
        <f>IF(R238&lt;&gt;0,Configuración!$E$2,0)</f>
        <v>#REF!</v>
      </c>
      <c r="U238" t="e">
        <f>IF(R238&lt;&gt;0,Configuración!$F$2,0)</f>
        <v>#REF!</v>
      </c>
      <c r="V238" t="e">
        <f>IF(R238&lt;&gt;0,Configuración!$G$2,0)</f>
        <v>#REF!</v>
      </c>
      <c r="W238" t="e">
        <f t="shared" si="35"/>
        <v>#REF!</v>
      </c>
      <c r="X238" t="e">
        <f t="shared" si="36"/>
        <v>#REF!</v>
      </c>
      <c r="Z238" t="e">
        <f t="shared" si="37"/>
        <v>#REF!</v>
      </c>
      <c r="AB238" t="e">
        <f t="shared" si="38"/>
        <v>#REF!</v>
      </c>
      <c r="AG238" t="e">
        <f t="shared" si="39"/>
        <v>#REF!</v>
      </c>
      <c r="AH238" s="5" t="e">
        <f t="shared" si="40"/>
        <v>#REF!</v>
      </c>
      <c r="AI238" t="e">
        <f t="shared" si="41"/>
        <v>#REF!</v>
      </c>
    </row>
    <row r="239" spans="1:35" x14ac:dyDescent="0.55000000000000004">
      <c r="C239" t="s">
        <v>26</v>
      </c>
      <c r="D239" t="e">
        <f>IF(COUNTIF(#REF!,"&lt;&gt;NAN")=0, 0, IF(AND(OR(#REF!=#REF!,#REF!="NAN"), OR(#REF!=#REF!,#REF!="NAN"), OR(#REF!=#REF!,#REF!="NAN")),#REF!, 0))</f>
        <v>#REF!</v>
      </c>
      <c r="E239" t="e">
        <f>IF(#REF!="NAN","",IF(
   AND(OR(#REF!=#REF!,#REF!="NAN"),
     OR(#REF!=#REF!,#REF!="NAN"),
     OR(#REF!=#REF!,#REF!="NAN")),
   1,
   0))</f>
        <v>#REF!</v>
      </c>
      <c r="F239" t="s">
        <v>37</v>
      </c>
      <c r="G239" t="e">
        <f>IF(OR(#REF!="UP",#REF!="DOWN"),1,0)</f>
        <v>#REF!</v>
      </c>
      <c r="H239" t="e">
        <f>IF(OR(#REF!="UP",#REF!="DOWN"),1,0)</f>
        <v>#REF!</v>
      </c>
      <c r="I239" t="e">
        <f>IF(OR(#REF!="UP",#REF!="DOWN"),1,0)</f>
        <v>#REF!</v>
      </c>
      <c r="J239" t="s">
        <v>51</v>
      </c>
      <c r="M239" t="e">
        <f>IF(OR(#REF!="UP",#REF!="DOWN"),0,1)</f>
        <v>#REF!</v>
      </c>
      <c r="N239" t="e">
        <f>IF(OR(#REF!="UP",#REF!="DOWN"),VLOOKUP($C239,Configuración!$H$2:$K$11,3),1)</f>
        <v>#REF!</v>
      </c>
      <c r="O239" t="e">
        <f>IF(OR(#REF!="UP",#REF!="DOWN"),VLOOKUP($C239,Configuración!$H$2:$K$11,4),1)</f>
        <v>#REF!</v>
      </c>
      <c r="P239" t="e">
        <f t="shared" si="33"/>
        <v>#REF!</v>
      </c>
      <c r="Q239" t="e">
        <f t="shared" si="34"/>
        <v>#REF!</v>
      </c>
      <c r="R239" t="e">
        <f t="shared" si="32"/>
        <v>#REF!</v>
      </c>
      <c r="T239" t="e">
        <f>IF(R239&lt;&gt;0,Configuración!$E$2,0)</f>
        <v>#REF!</v>
      </c>
      <c r="U239" t="e">
        <f>IF(R239&lt;&gt;0,Configuración!$F$2,0)</f>
        <v>#REF!</v>
      </c>
      <c r="V239" t="e">
        <f>IF(R239&lt;&gt;0,Configuración!$G$2,0)</f>
        <v>#REF!</v>
      </c>
      <c r="W239" t="e">
        <f t="shared" si="35"/>
        <v>#REF!</v>
      </c>
      <c r="X239" t="e">
        <f t="shared" si="36"/>
        <v>#REF!</v>
      </c>
      <c r="Z239" t="e">
        <f t="shared" si="37"/>
        <v>#REF!</v>
      </c>
      <c r="AB239" t="e">
        <f t="shared" si="38"/>
        <v>#REF!</v>
      </c>
      <c r="AG239" t="e">
        <f t="shared" si="39"/>
        <v>#REF!</v>
      </c>
      <c r="AH239" s="5" t="e">
        <f t="shared" si="40"/>
        <v>#REF!</v>
      </c>
      <c r="AI239" t="e">
        <f t="shared" si="41"/>
        <v>#REF!</v>
      </c>
    </row>
    <row r="240" spans="1:35" x14ac:dyDescent="0.55000000000000004">
      <c r="C240" t="s">
        <v>33</v>
      </c>
      <c r="D240" t="e">
        <f>IF(COUNTIF(#REF!,"&lt;&gt;NAN")=0, 0, IF(AND(OR(#REF!=#REF!,#REF!="NAN"), OR(#REF!=#REF!,#REF!="NAN"), OR(#REF!=#REF!,#REF!="NAN")),#REF!, 0))</f>
        <v>#REF!</v>
      </c>
      <c r="E240" t="e">
        <f>IF(#REF!="NAN","",IF(
   AND(OR(#REF!=#REF!,#REF!="NAN"),
     OR(#REF!=#REF!,#REF!="NAN"),
     OR(#REF!=#REF!,#REF!="NAN")),
   1,
   0))</f>
        <v>#REF!</v>
      </c>
      <c r="F240" t="s">
        <v>51</v>
      </c>
      <c r="G240" t="e">
        <f>IF(OR(#REF!="UP",#REF!="DOWN"),1,0)</f>
        <v>#REF!</v>
      </c>
      <c r="H240" t="e">
        <f>IF(OR(#REF!="UP",#REF!="DOWN"),1,0)</f>
        <v>#REF!</v>
      </c>
      <c r="I240" t="e">
        <f>IF(OR(#REF!="UP",#REF!="DOWN"),1,0)</f>
        <v>#REF!</v>
      </c>
      <c r="J240" t="s">
        <v>51</v>
      </c>
      <c r="M240" t="e">
        <f>IF(OR(#REF!="UP",#REF!="DOWN"),0,1)</f>
        <v>#REF!</v>
      </c>
      <c r="N240" t="e">
        <f>IF(OR(#REF!="UP",#REF!="DOWN"),VLOOKUP($C240,Configuración!$H$2:$K$11,3),1)</f>
        <v>#REF!</v>
      </c>
      <c r="O240" t="e">
        <f>IF(OR(#REF!="UP",#REF!="DOWN"),VLOOKUP($C240,Configuración!$H$2:$K$11,4),1)</f>
        <v>#REF!</v>
      </c>
      <c r="P240" t="e">
        <f t="shared" si="33"/>
        <v>#REF!</v>
      </c>
      <c r="Q240" t="e">
        <f t="shared" si="34"/>
        <v>#REF!</v>
      </c>
      <c r="R240" t="e">
        <f t="shared" ref="R240:R303" si="42">IF(AND(OR(D240="UP",D240="DOWN"), Q240&gt;0.9), D240, 0)</f>
        <v>#REF!</v>
      </c>
      <c r="T240" t="e">
        <f>IF(R240&lt;&gt;0,Configuración!$E$2,0)</f>
        <v>#REF!</v>
      </c>
      <c r="U240" t="e">
        <f>IF(R240&lt;&gt;0,Configuración!$F$2,0)</f>
        <v>#REF!</v>
      </c>
      <c r="V240" t="e">
        <f>IF(R240&lt;&gt;0,Configuración!$G$2,0)</f>
        <v>#REF!</v>
      </c>
      <c r="W240" t="e">
        <f t="shared" si="35"/>
        <v>#REF!</v>
      </c>
      <c r="X240" t="e">
        <f t="shared" si="36"/>
        <v>#REF!</v>
      </c>
      <c r="Z240" t="e">
        <f t="shared" si="37"/>
        <v>#REF!</v>
      </c>
      <c r="AB240" t="e">
        <f t="shared" si="38"/>
        <v>#REF!</v>
      </c>
      <c r="AG240" t="e">
        <f t="shared" si="39"/>
        <v>#REF!</v>
      </c>
      <c r="AH240" s="5" t="e">
        <f t="shared" si="40"/>
        <v>#REF!</v>
      </c>
      <c r="AI240" t="e">
        <f t="shared" si="41"/>
        <v>#REF!</v>
      </c>
    </row>
    <row r="241" spans="1:35" x14ac:dyDescent="0.55000000000000004">
      <c r="C241" t="s">
        <v>35</v>
      </c>
      <c r="D241" t="e">
        <f>IF(COUNTIF(#REF!,"&lt;&gt;NAN")=0, 0, IF(AND(OR(#REF!=#REF!,#REF!="NAN"), OR(#REF!=#REF!,#REF!="NAN"), OR(#REF!=#REF!,#REF!="NAN")),#REF!, 0))</f>
        <v>#REF!</v>
      </c>
      <c r="E241" t="e">
        <f>IF(#REF!="NAN","",IF(
   AND(OR(#REF!=#REF!,#REF!="NAN"),
     OR(#REF!=#REF!,#REF!="NAN"),
     OR(#REF!=#REF!,#REF!="NAN")),
   1,
   0))</f>
        <v>#REF!</v>
      </c>
      <c r="F241" t="s">
        <v>38</v>
      </c>
      <c r="G241" t="e">
        <f>IF(OR(#REF!="UP",#REF!="DOWN"),1,0)</f>
        <v>#REF!</v>
      </c>
      <c r="H241" t="e">
        <f>IF(OR(#REF!="UP",#REF!="DOWN"),1,0)</f>
        <v>#REF!</v>
      </c>
      <c r="I241" t="e">
        <f>IF(OR(#REF!="UP",#REF!="DOWN"),1,0)</f>
        <v>#REF!</v>
      </c>
      <c r="J241" t="s">
        <v>51</v>
      </c>
      <c r="M241" t="e">
        <f>IF(OR(#REF!="UP",#REF!="DOWN"),0,1)</f>
        <v>#REF!</v>
      </c>
      <c r="N241" t="e">
        <f>IF(OR(#REF!="UP",#REF!="DOWN"),VLOOKUP($C241,Configuración!$H$2:$K$11,3),1)</f>
        <v>#REF!</v>
      </c>
      <c r="O241" t="e">
        <f>IF(OR(#REF!="UP",#REF!="DOWN"),VLOOKUP($C241,Configuración!$H$2:$K$11,4),1)</f>
        <v>#REF!</v>
      </c>
      <c r="P241" t="e">
        <f t="shared" si="33"/>
        <v>#REF!</v>
      </c>
      <c r="Q241" t="e">
        <f t="shared" si="34"/>
        <v>#REF!</v>
      </c>
      <c r="R241" t="e">
        <f t="shared" si="42"/>
        <v>#REF!</v>
      </c>
      <c r="T241" t="e">
        <f>IF(R241&lt;&gt;0,Configuración!$E$2,0)</f>
        <v>#REF!</v>
      </c>
      <c r="U241" t="e">
        <f>IF(R241&lt;&gt;0,Configuración!$F$2,0)</f>
        <v>#REF!</v>
      </c>
      <c r="V241" t="e">
        <f>IF(R241&lt;&gt;0,Configuración!$G$2,0)</f>
        <v>#REF!</v>
      </c>
      <c r="W241" t="e">
        <f t="shared" si="35"/>
        <v>#REF!</v>
      </c>
      <c r="X241" t="e">
        <f t="shared" si="36"/>
        <v>#REF!</v>
      </c>
      <c r="Z241" t="e">
        <f t="shared" si="37"/>
        <v>#REF!</v>
      </c>
      <c r="AB241" t="e">
        <f t="shared" si="38"/>
        <v>#REF!</v>
      </c>
      <c r="AG241" t="e">
        <f t="shared" si="39"/>
        <v>#REF!</v>
      </c>
      <c r="AH241" s="5" t="e">
        <f t="shared" si="40"/>
        <v>#REF!</v>
      </c>
      <c r="AI241" t="e">
        <f t="shared" si="41"/>
        <v>#REF!</v>
      </c>
    </row>
    <row r="242" spans="1:35" x14ac:dyDescent="0.55000000000000004">
      <c r="C242" t="s">
        <v>34</v>
      </c>
      <c r="D242" t="e">
        <f>IF(COUNTIF(#REF!,"&lt;&gt;NAN")=0, 0, IF(AND(OR(#REF!=#REF!,#REF!="NAN"), OR(#REF!=#REF!,#REF!="NAN"), OR(#REF!=#REF!,#REF!="NAN")),#REF!, 0))</f>
        <v>#REF!</v>
      </c>
      <c r="E242" t="e">
        <f>IF(#REF!="NAN","",IF(
   AND(OR(#REF!=#REF!,#REF!="NAN"),
     OR(#REF!=#REF!,#REF!="NAN"),
     OR(#REF!=#REF!,#REF!="NAN")),
   1,
   0))</f>
        <v>#REF!</v>
      </c>
      <c r="F242" t="s">
        <v>51</v>
      </c>
      <c r="G242" t="e">
        <f>IF(OR(#REF!="UP",#REF!="DOWN"),1,0)</f>
        <v>#REF!</v>
      </c>
      <c r="H242" t="e">
        <f>IF(OR(#REF!="UP",#REF!="DOWN"),1,0)</f>
        <v>#REF!</v>
      </c>
      <c r="I242" t="e">
        <f>IF(OR(#REF!="UP",#REF!="DOWN"),1,0)</f>
        <v>#REF!</v>
      </c>
      <c r="M242" t="e">
        <f>IF(OR(#REF!="UP",#REF!="DOWN"),0,1)</f>
        <v>#REF!</v>
      </c>
      <c r="N242" t="e">
        <f>IF(OR(#REF!="UP",#REF!="DOWN"),VLOOKUP($C242,Configuración!$H$2:$K$11,3),1)</f>
        <v>#REF!</v>
      </c>
      <c r="O242" t="e">
        <f>IF(OR(#REF!="UP",#REF!="DOWN"),VLOOKUP($C242,Configuración!$H$2:$K$11,4),1)</f>
        <v>#REF!</v>
      </c>
      <c r="P242" t="e">
        <f t="shared" si="33"/>
        <v>#REF!</v>
      </c>
      <c r="Q242" t="e">
        <f t="shared" si="34"/>
        <v>#REF!</v>
      </c>
      <c r="R242" t="e">
        <f t="shared" si="42"/>
        <v>#REF!</v>
      </c>
      <c r="T242" t="e">
        <f>IF(R242&lt;&gt;0,Configuración!$E$2,0)</f>
        <v>#REF!</v>
      </c>
      <c r="U242" t="e">
        <f>IF(R242&lt;&gt;0,Configuración!$F$2,0)</f>
        <v>#REF!</v>
      </c>
      <c r="V242" t="e">
        <f>IF(R242&lt;&gt;0,Configuración!$G$2,0)</f>
        <v>#REF!</v>
      </c>
      <c r="W242" t="e">
        <f t="shared" si="35"/>
        <v>#REF!</v>
      </c>
      <c r="X242" t="e">
        <f t="shared" si="36"/>
        <v>#REF!</v>
      </c>
      <c r="Z242" t="e">
        <f t="shared" si="37"/>
        <v>#REF!</v>
      </c>
      <c r="AB242" t="e">
        <f t="shared" si="38"/>
        <v>#REF!</v>
      </c>
      <c r="AG242" t="e">
        <f t="shared" si="39"/>
        <v>#REF!</v>
      </c>
      <c r="AH242" s="5" t="e">
        <f t="shared" si="40"/>
        <v>#REF!</v>
      </c>
      <c r="AI242" t="e">
        <f t="shared" si="41"/>
        <v>#REF!</v>
      </c>
    </row>
    <row r="243" spans="1:35" x14ac:dyDescent="0.55000000000000004">
      <c r="C243" t="s">
        <v>27</v>
      </c>
      <c r="D243" t="e">
        <f>IF(COUNTIF(#REF!,"&lt;&gt;NAN")=0, 0, IF(AND(OR(#REF!=#REF!,#REF!="NAN"), OR(#REF!=#REF!,#REF!="NAN"), OR(#REF!=#REF!,#REF!="NAN")),#REF!, 0))</f>
        <v>#REF!</v>
      </c>
      <c r="E243" t="e">
        <f>IF(#REF!="NAN","",IF(
   AND(OR(#REF!=#REF!,#REF!="NAN"),
     OR(#REF!=#REF!,#REF!="NAN"),
     OR(#REF!=#REF!,#REF!="NAN")),
   1,
   0))</f>
        <v>#REF!</v>
      </c>
      <c r="F243" t="s">
        <v>51</v>
      </c>
      <c r="G243" t="e">
        <f>IF(OR(#REF!="UP",#REF!="DOWN"),1,0)</f>
        <v>#REF!</v>
      </c>
      <c r="H243" t="e">
        <f>IF(OR(#REF!="UP",#REF!="DOWN"),1,0)</f>
        <v>#REF!</v>
      </c>
      <c r="I243" t="e">
        <f>IF(OR(#REF!="UP",#REF!="DOWN"),1,0)</f>
        <v>#REF!</v>
      </c>
      <c r="M243" t="e">
        <f>IF(OR(#REF!="UP",#REF!="DOWN"),0,1)</f>
        <v>#REF!</v>
      </c>
      <c r="N243" t="e">
        <f>IF(OR(#REF!="UP",#REF!="DOWN"),VLOOKUP($C243,Configuración!$H$2:$K$11,3),1)</f>
        <v>#REF!</v>
      </c>
      <c r="O243" t="e">
        <f>IF(OR(#REF!="UP",#REF!="DOWN"),VLOOKUP($C243,Configuración!$H$2:$K$11,4),1)</f>
        <v>#REF!</v>
      </c>
      <c r="P243" t="e">
        <f t="shared" si="33"/>
        <v>#REF!</v>
      </c>
      <c r="Q243" t="e">
        <f t="shared" si="34"/>
        <v>#REF!</v>
      </c>
      <c r="R243" t="e">
        <f t="shared" si="42"/>
        <v>#REF!</v>
      </c>
      <c r="T243" t="e">
        <f>IF(R243&lt;&gt;0,Configuración!$E$2,0)</f>
        <v>#REF!</v>
      </c>
      <c r="U243" t="e">
        <f>IF(R243&lt;&gt;0,Configuración!$F$2,0)</f>
        <v>#REF!</v>
      </c>
      <c r="V243" t="e">
        <f>IF(R243&lt;&gt;0,Configuración!$G$2,0)</f>
        <v>#REF!</v>
      </c>
      <c r="W243" t="e">
        <f t="shared" si="35"/>
        <v>#REF!</v>
      </c>
      <c r="X243" t="e">
        <f t="shared" si="36"/>
        <v>#REF!</v>
      </c>
      <c r="Z243" t="e">
        <f t="shared" si="37"/>
        <v>#REF!</v>
      </c>
      <c r="AB243" t="e">
        <f t="shared" si="38"/>
        <v>#REF!</v>
      </c>
      <c r="AG243" t="e">
        <f t="shared" si="39"/>
        <v>#REF!</v>
      </c>
      <c r="AH243" s="5" t="e">
        <f t="shared" si="40"/>
        <v>#REF!</v>
      </c>
      <c r="AI243" t="e">
        <f t="shared" si="41"/>
        <v>#REF!</v>
      </c>
    </row>
    <row r="244" spans="1:35" x14ac:dyDescent="0.55000000000000004">
      <c r="C244" t="s">
        <v>28</v>
      </c>
      <c r="D244" t="e">
        <f>IF(COUNTIF(#REF!,"&lt;&gt;NAN")=0, 0, IF(AND(OR(#REF!=#REF!,#REF!="NAN"), OR(#REF!=#REF!,#REF!="NAN"), OR(#REF!=#REF!,#REF!="NAN")),#REF!, 0))</f>
        <v>#REF!</v>
      </c>
      <c r="E244" t="e">
        <f>IF(#REF!="NAN","",IF(
   AND(OR(#REF!=#REF!,#REF!="NAN"),
     OR(#REF!=#REF!,#REF!="NAN"),
     OR(#REF!=#REF!,#REF!="NAN")),
   1,
   0))</f>
        <v>#REF!</v>
      </c>
      <c r="F244" t="s">
        <v>37</v>
      </c>
      <c r="G244" t="e">
        <f>IF(OR(#REF!="UP",#REF!="DOWN"),1,0)</f>
        <v>#REF!</v>
      </c>
      <c r="H244" t="e">
        <f>IF(OR(#REF!="UP",#REF!="DOWN"),1,0)</f>
        <v>#REF!</v>
      </c>
      <c r="I244" t="e">
        <f>IF(OR(#REF!="UP",#REF!="DOWN"),1,0)</f>
        <v>#REF!</v>
      </c>
      <c r="M244" t="e">
        <f>IF(OR(#REF!="UP",#REF!="DOWN"),0,1)</f>
        <v>#REF!</v>
      </c>
      <c r="N244" t="e">
        <f>IF(OR(#REF!="UP",#REF!="DOWN"),VLOOKUP($C244,Configuración!$H$2:$K$11,3),1)</f>
        <v>#REF!</v>
      </c>
      <c r="O244" t="e">
        <f>IF(OR(#REF!="UP",#REF!="DOWN"),VLOOKUP($C244,Configuración!$H$2:$K$11,4),1)</f>
        <v>#REF!</v>
      </c>
      <c r="P244" t="e">
        <f t="shared" si="33"/>
        <v>#REF!</v>
      </c>
      <c r="Q244" t="e">
        <f t="shared" si="34"/>
        <v>#REF!</v>
      </c>
      <c r="R244" t="e">
        <f t="shared" si="42"/>
        <v>#REF!</v>
      </c>
      <c r="T244" t="e">
        <f>IF(R244&lt;&gt;0,Configuración!$E$2,0)</f>
        <v>#REF!</v>
      </c>
      <c r="U244" t="e">
        <f>IF(R244&lt;&gt;0,Configuración!$F$2,0)</f>
        <v>#REF!</v>
      </c>
      <c r="V244" t="e">
        <f>IF(R244&lt;&gt;0,Configuración!$G$2,0)</f>
        <v>#REF!</v>
      </c>
      <c r="W244" t="e">
        <f t="shared" si="35"/>
        <v>#REF!</v>
      </c>
      <c r="X244" t="e">
        <f t="shared" si="36"/>
        <v>#REF!</v>
      </c>
      <c r="Z244" t="e">
        <f t="shared" si="37"/>
        <v>#REF!</v>
      </c>
      <c r="AB244" t="e">
        <f t="shared" si="38"/>
        <v>#REF!</v>
      </c>
      <c r="AG244" t="e">
        <f t="shared" si="39"/>
        <v>#REF!</v>
      </c>
      <c r="AH244" s="5" t="e">
        <f t="shared" si="40"/>
        <v>#REF!</v>
      </c>
      <c r="AI244" t="e">
        <f t="shared" si="41"/>
        <v>#REF!</v>
      </c>
    </row>
    <row r="245" spans="1:35" x14ac:dyDescent="0.55000000000000004">
      <c r="C245" t="s">
        <v>30</v>
      </c>
      <c r="D245" t="e">
        <f>IF(COUNTIF(#REF!,"&lt;&gt;NAN")=0, 0, IF(AND(OR(#REF!=#REF!,#REF!="NAN"), OR(#REF!=#REF!,#REF!="NAN"), OR(#REF!=#REF!,#REF!="NAN")),#REF!, 0))</f>
        <v>#REF!</v>
      </c>
      <c r="E245" t="e">
        <f>IF(#REF!="NAN","",IF(
   AND(OR(#REF!=#REF!,#REF!="NAN"),
     OR(#REF!=#REF!,#REF!="NAN"),
     OR(#REF!=#REF!,#REF!="NAN")),
   1,
   0))</f>
        <v>#REF!</v>
      </c>
      <c r="F245" t="s">
        <v>51</v>
      </c>
      <c r="G245" t="e">
        <f>IF(OR(#REF!="UP",#REF!="DOWN"),1,0)</f>
        <v>#REF!</v>
      </c>
      <c r="H245" t="e">
        <f>IF(OR(#REF!="UP",#REF!="DOWN"),1,0)</f>
        <v>#REF!</v>
      </c>
      <c r="I245" t="e">
        <f>IF(OR(#REF!="UP",#REF!="DOWN"),1,0)</f>
        <v>#REF!</v>
      </c>
      <c r="M245" t="e">
        <f>IF(OR(#REF!="UP",#REF!="DOWN"),0,1)</f>
        <v>#REF!</v>
      </c>
      <c r="N245" t="e">
        <f>IF(OR(#REF!="UP",#REF!="DOWN"),VLOOKUP($C245,Configuración!$H$2:$K$11,3),1)</f>
        <v>#REF!</v>
      </c>
      <c r="O245" t="e">
        <f>IF(OR(#REF!="UP",#REF!="DOWN"),VLOOKUP($C245,Configuración!$H$2:$K$11,4),1)</f>
        <v>#REF!</v>
      </c>
      <c r="P245" t="e">
        <f t="shared" si="33"/>
        <v>#REF!</v>
      </c>
      <c r="Q245" t="e">
        <f t="shared" si="34"/>
        <v>#REF!</v>
      </c>
      <c r="R245" t="e">
        <f t="shared" si="42"/>
        <v>#REF!</v>
      </c>
      <c r="T245" t="e">
        <f>IF(R245&lt;&gt;0,Configuración!$E$2,0)</f>
        <v>#REF!</v>
      </c>
      <c r="U245" t="e">
        <f>IF(R245&lt;&gt;0,Configuración!$F$2,0)</f>
        <v>#REF!</v>
      </c>
      <c r="V245" t="e">
        <f>IF(R245&lt;&gt;0,Configuración!$G$2,0)</f>
        <v>#REF!</v>
      </c>
      <c r="W245" t="e">
        <f t="shared" si="35"/>
        <v>#REF!</v>
      </c>
      <c r="X245" t="e">
        <f t="shared" si="36"/>
        <v>#REF!</v>
      </c>
      <c r="Z245" t="e">
        <f t="shared" si="37"/>
        <v>#REF!</v>
      </c>
      <c r="AB245" t="e">
        <f t="shared" si="38"/>
        <v>#REF!</v>
      </c>
      <c r="AG245" t="e">
        <f t="shared" si="39"/>
        <v>#REF!</v>
      </c>
      <c r="AH245" s="5" t="e">
        <f t="shared" si="40"/>
        <v>#REF!</v>
      </c>
      <c r="AI245" t="e">
        <f t="shared" si="41"/>
        <v>#REF!</v>
      </c>
    </row>
    <row r="246" spans="1:35" x14ac:dyDescent="0.55000000000000004">
      <c r="C246" t="s">
        <v>29</v>
      </c>
      <c r="D246" t="e">
        <f>IF(COUNTIF(#REF!,"&lt;&gt;NAN")=0, 0, IF(AND(OR(#REF!=#REF!,#REF!="NAN"), OR(#REF!=#REF!,#REF!="NAN"), OR(#REF!=#REF!,#REF!="NAN")),#REF!, 0))</f>
        <v>#REF!</v>
      </c>
      <c r="E246" t="e">
        <f>IF(#REF!="NAN","",IF(
   AND(OR(#REF!=#REF!,#REF!="NAN"),
     OR(#REF!=#REF!,#REF!="NAN"),
     OR(#REF!=#REF!,#REF!="NAN")),
   1,
   0))</f>
        <v>#REF!</v>
      </c>
      <c r="F246" t="s">
        <v>51</v>
      </c>
      <c r="G246" t="e">
        <f>IF(OR(#REF!="UP",#REF!="DOWN"),1,0)</f>
        <v>#REF!</v>
      </c>
      <c r="H246" t="e">
        <f>IF(OR(#REF!="UP",#REF!="DOWN"),1,0)</f>
        <v>#REF!</v>
      </c>
      <c r="I246" t="e">
        <f>IF(OR(#REF!="UP",#REF!="DOWN"),1,0)</f>
        <v>#REF!</v>
      </c>
      <c r="M246" t="e">
        <f>IF(OR(#REF!="UP",#REF!="DOWN"),0,1)</f>
        <v>#REF!</v>
      </c>
      <c r="N246" t="e">
        <f>IF(OR(#REF!="UP",#REF!="DOWN"),VLOOKUP($C246,Configuración!$H$2:$K$11,3),1)</f>
        <v>#REF!</v>
      </c>
      <c r="O246" t="e">
        <f>IF(OR(#REF!="UP",#REF!="DOWN"),VLOOKUP($C246,Configuración!$H$2:$K$11,4),1)</f>
        <v>#REF!</v>
      </c>
      <c r="P246" t="e">
        <f t="shared" si="33"/>
        <v>#REF!</v>
      </c>
      <c r="Q246" t="e">
        <f t="shared" si="34"/>
        <v>#REF!</v>
      </c>
      <c r="R246" t="e">
        <f t="shared" si="42"/>
        <v>#REF!</v>
      </c>
      <c r="T246" t="e">
        <f>IF(R246&lt;&gt;0,Configuración!$E$2,0)</f>
        <v>#REF!</v>
      </c>
      <c r="U246" t="e">
        <f>IF(R246&lt;&gt;0,Configuración!$F$2,0)</f>
        <v>#REF!</v>
      </c>
      <c r="V246" t="e">
        <f>IF(R246&lt;&gt;0,Configuración!$G$2,0)</f>
        <v>#REF!</v>
      </c>
      <c r="W246" t="e">
        <f t="shared" si="35"/>
        <v>#REF!</v>
      </c>
      <c r="X246" t="e">
        <f t="shared" si="36"/>
        <v>#REF!</v>
      </c>
      <c r="Z246" t="e">
        <f t="shared" si="37"/>
        <v>#REF!</v>
      </c>
      <c r="AB246" t="e">
        <f t="shared" si="38"/>
        <v>#REF!</v>
      </c>
      <c r="AG246" t="e">
        <f t="shared" si="39"/>
        <v>#REF!</v>
      </c>
      <c r="AH246" s="5" t="e">
        <f t="shared" si="40"/>
        <v>#REF!</v>
      </c>
      <c r="AI246" t="e">
        <f t="shared" si="41"/>
        <v>#REF!</v>
      </c>
    </row>
    <row r="247" spans="1:35" x14ac:dyDescent="0.55000000000000004">
      <c r="C247" t="s">
        <v>31</v>
      </c>
      <c r="D247" t="e">
        <f>IF(COUNTIF(#REF!,"&lt;&gt;NAN")=0, 0, IF(AND(OR(#REF!=#REF!,#REF!="NAN"), OR(#REF!=#REF!,#REF!="NAN"), OR(#REF!=#REF!,#REF!="NAN")),#REF!, 0))</f>
        <v>#REF!</v>
      </c>
      <c r="E247" t="e">
        <f>IF(#REF!="NAN","",IF(
   AND(OR(#REF!=#REF!,#REF!="NAN"),
     OR(#REF!=#REF!,#REF!="NAN"),
     OR(#REF!=#REF!,#REF!="NAN")),
   1,
   0))</f>
        <v>#REF!</v>
      </c>
      <c r="F247" t="s">
        <v>38</v>
      </c>
      <c r="G247" t="e">
        <f>IF(OR(#REF!="UP",#REF!="DOWN"),1,0)</f>
        <v>#REF!</v>
      </c>
      <c r="H247" t="e">
        <f>IF(OR(#REF!="UP",#REF!="DOWN"),1,0)</f>
        <v>#REF!</v>
      </c>
      <c r="I247" t="e">
        <f>IF(OR(#REF!="UP",#REF!="DOWN"),1,0)</f>
        <v>#REF!</v>
      </c>
      <c r="M247" t="e">
        <f>IF(OR(#REF!="UP",#REF!="DOWN"),0,1)</f>
        <v>#REF!</v>
      </c>
      <c r="N247" t="e">
        <f>IF(OR(#REF!="UP",#REF!="DOWN"),VLOOKUP($C247,Configuración!$H$2:$K$11,3),1)</f>
        <v>#REF!</v>
      </c>
      <c r="O247" t="e">
        <f>IF(OR(#REF!="UP",#REF!="DOWN"),VLOOKUP($C247,Configuración!$H$2:$K$11,4),1)</f>
        <v>#REF!</v>
      </c>
      <c r="P247" t="e">
        <f t="shared" si="33"/>
        <v>#REF!</v>
      </c>
      <c r="Q247" t="e">
        <f t="shared" si="34"/>
        <v>#REF!</v>
      </c>
      <c r="R247" t="e">
        <f t="shared" si="42"/>
        <v>#REF!</v>
      </c>
      <c r="T247" t="e">
        <f>IF(R247&lt;&gt;0,Configuración!$E$2,0)</f>
        <v>#REF!</v>
      </c>
      <c r="U247" t="e">
        <f>IF(R247&lt;&gt;0,Configuración!$F$2,0)</f>
        <v>#REF!</v>
      </c>
      <c r="V247" t="e">
        <f>IF(R247&lt;&gt;0,Configuración!$G$2,0)</f>
        <v>#REF!</v>
      </c>
      <c r="W247" t="e">
        <f t="shared" si="35"/>
        <v>#REF!</v>
      </c>
      <c r="X247" t="e">
        <f t="shared" si="36"/>
        <v>#REF!</v>
      </c>
      <c r="Z247" t="e">
        <f t="shared" si="37"/>
        <v>#REF!</v>
      </c>
      <c r="AB247" t="e">
        <f t="shared" si="38"/>
        <v>#REF!</v>
      </c>
      <c r="AG247" t="e">
        <f t="shared" si="39"/>
        <v>#REF!</v>
      </c>
      <c r="AH247" s="5" t="e">
        <f t="shared" si="40"/>
        <v>#REF!</v>
      </c>
      <c r="AI247" t="e">
        <f t="shared" si="41"/>
        <v>#REF!</v>
      </c>
    </row>
    <row r="248" spans="1:35" x14ac:dyDescent="0.55000000000000004">
      <c r="A248">
        <v>29102025</v>
      </c>
      <c r="C248" t="s">
        <v>32</v>
      </c>
      <c r="D248" t="e">
        <f>IF(COUNTIF(#REF!,"&lt;&gt;NAN")=0, 0, IF(AND(OR(#REF!=#REF!,#REF!="NAN"), OR(#REF!=#REF!,#REF!="NAN"), OR(#REF!=#REF!,#REF!="NAN")),#REF!, 0))</f>
        <v>#REF!</v>
      </c>
      <c r="E248" t="e">
        <f>IF(#REF!="NAN","",IF(
   AND(OR(#REF!=#REF!,#REF!="NAN"),
     OR(#REF!=#REF!,#REF!="NAN"),
     OR(#REF!=#REF!,#REF!="NAN")),
   1,
   0))</f>
        <v>#REF!</v>
      </c>
      <c r="F248" t="s">
        <v>51</v>
      </c>
      <c r="G248" t="e">
        <f>IF(OR(#REF!="UP",#REF!="DOWN"),1,0)</f>
        <v>#REF!</v>
      </c>
      <c r="H248" t="e">
        <f>IF(OR(#REF!="UP",#REF!="DOWN"),1,0)</f>
        <v>#REF!</v>
      </c>
      <c r="I248" t="e">
        <f>IF(OR(#REF!="UP",#REF!="DOWN"),1,0)</f>
        <v>#REF!</v>
      </c>
      <c r="J248" t="s">
        <v>51</v>
      </c>
      <c r="K248" t="s">
        <v>79</v>
      </c>
      <c r="M248" t="e">
        <f>IF(OR(#REF!="UP",#REF!="DOWN"),0,1)</f>
        <v>#REF!</v>
      </c>
      <c r="N248" t="e">
        <f>IF(OR(#REF!="UP",#REF!="DOWN"),VLOOKUP($C248,Configuración!$H$2:$K$11,3),1)</f>
        <v>#REF!</v>
      </c>
      <c r="O248" t="e">
        <f>IF(OR(#REF!="UP",#REF!="DOWN"),VLOOKUP($C248,Configuración!$H$2:$K$11,4),1)</f>
        <v>#REF!</v>
      </c>
      <c r="P248" t="e">
        <f t="shared" si="33"/>
        <v>#REF!</v>
      </c>
      <c r="Q248" t="e">
        <f t="shared" si="34"/>
        <v>#REF!</v>
      </c>
      <c r="R248" t="e">
        <f t="shared" si="42"/>
        <v>#REF!</v>
      </c>
      <c r="T248" t="e">
        <f>IF(R248&lt;&gt;0,Configuración!$E$2,0)</f>
        <v>#REF!</v>
      </c>
      <c r="U248" t="e">
        <f>IF(R248&lt;&gt;0,Configuración!$F$2,0)</f>
        <v>#REF!</v>
      </c>
      <c r="V248" t="e">
        <f>IF(R248&lt;&gt;0,Configuración!$G$2,0)</f>
        <v>#REF!</v>
      </c>
      <c r="W248" t="e">
        <f t="shared" si="35"/>
        <v>#REF!</v>
      </c>
      <c r="X248" t="e">
        <f t="shared" si="36"/>
        <v>#REF!</v>
      </c>
      <c r="Z248" t="e">
        <f t="shared" si="37"/>
        <v>#REF!</v>
      </c>
      <c r="AB248" t="e">
        <f t="shared" si="38"/>
        <v>#REF!</v>
      </c>
      <c r="AG248" t="e">
        <f t="shared" si="39"/>
        <v>#REF!</v>
      </c>
      <c r="AH248" s="5" t="e">
        <f t="shared" si="40"/>
        <v>#REF!</v>
      </c>
      <c r="AI248" t="e">
        <f t="shared" si="41"/>
        <v>#REF!</v>
      </c>
    </row>
    <row r="249" spans="1:35" x14ac:dyDescent="0.55000000000000004">
      <c r="C249" t="s">
        <v>26</v>
      </c>
      <c r="D249" t="e">
        <f>IF(COUNTIF(#REF!,"&lt;&gt;NAN")=0, 0, IF(AND(OR(#REF!=#REF!,#REF!="NAN"), OR(#REF!=#REF!,#REF!="NAN"), OR(#REF!=#REF!,#REF!="NAN")),#REF!, 0))</f>
        <v>#REF!</v>
      </c>
      <c r="E249" t="e">
        <f>IF(#REF!="NAN","",IF(
   AND(OR(#REF!=#REF!,#REF!="NAN"),
     OR(#REF!=#REF!,#REF!="NAN"),
     OR(#REF!=#REF!,#REF!="NAN")),
   1,
   0))</f>
        <v>#REF!</v>
      </c>
      <c r="F249" t="s">
        <v>37</v>
      </c>
      <c r="G249" t="e">
        <f>IF(OR(#REF!="UP",#REF!="DOWN"),1,0)</f>
        <v>#REF!</v>
      </c>
      <c r="H249" t="e">
        <f>IF(OR(#REF!="UP",#REF!="DOWN"),1,0)</f>
        <v>#REF!</v>
      </c>
      <c r="I249" t="e">
        <f>IF(OR(#REF!="UP",#REF!="DOWN"),1,0)</f>
        <v>#REF!</v>
      </c>
      <c r="J249" t="s">
        <v>51</v>
      </c>
      <c r="K249" t="s">
        <v>79</v>
      </c>
      <c r="M249" t="e">
        <f>IF(OR(#REF!="UP",#REF!="DOWN"),0,1)</f>
        <v>#REF!</v>
      </c>
      <c r="N249" t="e">
        <f>IF(OR(#REF!="UP",#REF!="DOWN"),VLOOKUP($C249,Configuración!$H$2:$K$11,3),1)</f>
        <v>#REF!</v>
      </c>
      <c r="O249" t="e">
        <f>IF(OR(#REF!="UP",#REF!="DOWN"),VLOOKUP($C249,Configuración!$H$2:$K$11,4),1)</f>
        <v>#REF!</v>
      </c>
      <c r="P249" t="e">
        <f t="shared" si="33"/>
        <v>#REF!</v>
      </c>
      <c r="Q249" t="e">
        <f t="shared" si="34"/>
        <v>#REF!</v>
      </c>
      <c r="R249" t="e">
        <f t="shared" si="42"/>
        <v>#REF!</v>
      </c>
      <c r="T249" t="e">
        <f>IF(R249&lt;&gt;0,Configuración!$E$2,0)</f>
        <v>#REF!</v>
      </c>
      <c r="U249" t="e">
        <f>IF(R249&lt;&gt;0,Configuración!$F$2,0)</f>
        <v>#REF!</v>
      </c>
      <c r="V249" t="e">
        <f>IF(R249&lt;&gt;0,Configuración!$G$2,0)</f>
        <v>#REF!</v>
      </c>
      <c r="W249" t="e">
        <f t="shared" si="35"/>
        <v>#REF!</v>
      </c>
      <c r="X249" t="e">
        <f t="shared" si="36"/>
        <v>#REF!</v>
      </c>
      <c r="Z249" t="e">
        <f t="shared" si="37"/>
        <v>#REF!</v>
      </c>
      <c r="AB249" t="e">
        <f t="shared" si="38"/>
        <v>#REF!</v>
      </c>
      <c r="AG249" t="e">
        <f t="shared" si="39"/>
        <v>#REF!</v>
      </c>
      <c r="AH249" s="5" t="e">
        <f t="shared" si="40"/>
        <v>#REF!</v>
      </c>
      <c r="AI249" t="e">
        <f t="shared" si="41"/>
        <v>#REF!</v>
      </c>
    </row>
    <row r="250" spans="1:35" x14ac:dyDescent="0.55000000000000004">
      <c r="C250" t="s">
        <v>33</v>
      </c>
      <c r="D250" t="e">
        <f>IF(COUNTIF(#REF!,"&lt;&gt;NAN")=0, 0, IF(AND(OR(#REF!=#REF!,#REF!="NAN"), OR(#REF!=#REF!,#REF!="NAN"), OR(#REF!=#REF!,#REF!="NAN")),#REF!, 0))</f>
        <v>#REF!</v>
      </c>
      <c r="E250" t="e">
        <f>IF(#REF!="NAN","",IF(
   AND(OR(#REF!=#REF!,#REF!="NAN"),
     OR(#REF!=#REF!,#REF!="NAN"),
     OR(#REF!=#REF!,#REF!="NAN")),
   1,
   0))</f>
        <v>#REF!</v>
      </c>
      <c r="F250" t="s">
        <v>51</v>
      </c>
      <c r="G250" t="e">
        <f>IF(OR(#REF!="UP",#REF!="DOWN"),1,0)</f>
        <v>#REF!</v>
      </c>
      <c r="H250" t="e">
        <f>IF(OR(#REF!="UP",#REF!="DOWN"),1,0)</f>
        <v>#REF!</v>
      </c>
      <c r="I250" t="e">
        <f>IF(OR(#REF!="UP",#REF!="DOWN"),1,0)</f>
        <v>#REF!</v>
      </c>
      <c r="J250" t="s">
        <v>51</v>
      </c>
      <c r="M250" t="e">
        <f>IF(OR(#REF!="UP",#REF!="DOWN"),0,1)</f>
        <v>#REF!</v>
      </c>
      <c r="N250" t="e">
        <f>IF(OR(#REF!="UP",#REF!="DOWN"),VLOOKUP($C250,Configuración!$H$2:$K$11,3),1)</f>
        <v>#REF!</v>
      </c>
      <c r="O250" t="e">
        <f>IF(OR(#REF!="UP",#REF!="DOWN"),VLOOKUP($C250,Configuración!$H$2:$K$11,4),1)</f>
        <v>#REF!</v>
      </c>
      <c r="P250" t="e">
        <f t="shared" si="33"/>
        <v>#REF!</v>
      </c>
      <c r="Q250" t="e">
        <f t="shared" si="34"/>
        <v>#REF!</v>
      </c>
      <c r="R250" t="e">
        <f t="shared" si="42"/>
        <v>#REF!</v>
      </c>
      <c r="T250" t="e">
        <f>IF(R250&lt;&gt;0,Configuración!$E$2,0)</f>
        <v>#REF!</v>
      </c>
      <c r="U250" t="e">
        <f>IF(R250&lt;&gt;0,Configuración!$F$2,0)</f>
        <v>#REF!</v>
      </c>
      <c r="V250" t="e">
        <f>IF(R250&lt;&gt;0,Configuración!$G$2,0)</f>
        <v>#REF!</v>
      </c>
      <c r="W250" t="e">
        <f t="shared" si="35"/>
        <v>#REF!</v>
      </c>
      <c r="X250" t="e">
        <f t="shared" si="36"/>
        <v>#REF!</v>
      </c>
      <c r="Z250" t="e">
        <f t="shared" si="37"/>
        <v>#REF!</v>
      </c>
      <c r="AB250" t="e">
        <f t="shared" si="38"/>
        <v>#REF!</v>
      </c>
      <c r="AG250" t="e">
        <f t="shared" si="39"/>
        <v>#REF!</v>
      </c>
      <c r="AH250" s="5" t="e">
        <f t="shared" si="40"/>
        <v>#REF!</v>
      </c>
      <c r="AI250" t="e">
        <f t="shared" si="41"/>
        <v>#REF!</v>
      </c>
    </row>
    <row r="251" spans="1:35" x14ac:dyDescent="0.55000000000000004">
      <c r="C251" t="s">
        <v>35</v>
      </c>
      <c r="D251" t="e">
        <f>IF(COUNTIF(#REF!,"&lt;&gt;NAN")=0, 0, IF(AND(OR(#REF!=#REF!,#REF!="NAN"), OR(#REF!=#REF!,#REF!="NAN"), OR(#REF!=#REF!,#REF!="NAN")),#REF!, 0))</f>
        <v>#REF!</v>
      </c>
      <c r="E251" t="e">
        <f>IF(#REF!="NAN","",IF(
   AND(OR(#REF!=#REF!,#REF!="NAN"),
     OR(#REF!=#REF!,#REF!="NAN"),
     OR(#REF!=#REF!,#REF!="NAN")),
   1,
   0))</f>
        <v>#REF!</v>
      </c>
      <c r="F251" t="s">
        <v>38</v>
      </c>
      <c r="G251" t="e">
        <f>IF(OR(#REF!="UP",#REF!="DOWN"),1,0)</f>
        <v>#REF!</v>
      </c>
      <c r="H251" t="e">
        <f>IF(OR(#REF!="UP",#REF!="DOWN"),1,0)</f>
        <v>#REF!</v>
      </c>
      <c r="I251" t="e">
        <f>IF(OR(#REF!="UP",#REF!="DOWN"),1,0)</f>
        <v>#REF!</v>
      </c>
      <c r="J251" t="s">
        <v>51</v>
      </c>
      <c r="M251" t="e">
        <f>IF(OR(#REF!="UP",#REF!="DOWN"),0,1)</f>
        <v>#REF!</v>
      </c>
      <c r="N251" t="e">
        <f>IF(OR(#REF!="UP",#REF!="DOWN"),VLOOKUP($C251,Configuración!$H$2:$K$11,3),1)</f>
        <v>#REF!</v>
      </c>
      <c r="O251" t="e">
        <f>IF(OR(#REF!="UP",#REF!="DOWN"),VLOOKUP($C251,Configuración!$H$2:$K$11,4),1)</f>
        <v>#REF!</v>
      </c>
      <c r="P251" t="e">
        <f t="shared" si="33"/>
        <v>#REF!</v>
      </c>
      <c r="Q251" t="e">
        <f t="shared" si="34"/>
        <v>#REF!</v>
      </c>
      <c r="R251" t="e">
        <f t="shared" si="42"/>
        <v>#REF!</v>
      </c>
      <c r="T251" t="e">
        <f>IF(R251&lt;&gt;0,Configuración!$E$2,0)</f>
        <v>#REF!</v>
      </c>
      <c r="U251" t="e">
        <f>IF(R251&lt;&gt;0,Configuración!$F$2,0)</f>
        <v>#REF!</v>
      </c>
      <c r="V251" t="e">
        <f>IF(R251&lt;&gt;0,Configuración!$G$2,0)</f>
        <v>#REF!</v>
      </c>
      <c r="W251" t="e">
        <f t="shared" si="35"/>
        <v>#REF!</v>
      </c>
      <c r="X251" t="e">
        <f t="shared" si="36"/>
        <v>#REF!</v>
      </c>
      <c r="Z251" t="e">
        <f t="shared" si="37"/>
        <v>#REF!</v>
      </c>
      <c r="AB251" t="e">
        <f t="shared" si="38"/>
        <v>#REF!</v>
      </c>
      <c r="AG251" t="e">
        <f t="shared" si="39"/>
        <v>#REF!</v>
      </c>
      <c r="AH251" s="5" t="e">
        <f t="shared" si="40"/>
        <v>#REF!</v>
      </c>
      <c r="AI251" t="e">
        <f t="shared" si="41"/>
        <v>#REF!</v>
      </c>
    </row>
    <row r="252" spans="1:35" x14ac:dyDescent="0.55000000000000004">
      <c r="C252" t="s">
        <v>34</v>
      </c>
      <c r="D252" t="e">
        <f>IF(COUNTIF(#REF!,"&lt;&gt;NAN")=0, 0, IF(AND(OR(#REF!=#REF!,#REF!="NAN"), OR(#REF!=#REF!,#REF!="NAN"), OR(#REF!=#REF!,#REF!="NAN")),#REF!, 0))</f>
        <v>#REF!</v>
      </c>
      <c r="E252" t="e">
        <f>IF(#REF!="NAN","",IF(
   AND(OR(#REF!=#REF!,#REF!="NAN"),
     OR(#REF!=#REF!,#REF!="NAN"),
     OR(#REF!=#REF!,#REF!="NAN")),
   1,
   0))</f>
        <v>#REF!</v>
      </c>
      <c r="F252" t="s">
        <v>51</v>
      </c>
      <c r="G252" t="e">
        <f>IF(OR(#REF!="UP",#REF!="DOWN"),1,0)</f>
        <v>#REF!</v>
      </c>
      <c r="H252" t="e">
        <f>IF(OR(#REF!="UP",#REF!="DOWN"),1,0)</f>
        <v>#REF!</v>
      </c>
      <c r="I252" t="e">
        <f>IF(OR(#REF!="UP",#REF!="DOWN"),1,0)</f>
        <v>#REF!</v>
      </c>
      <c r="J252" t="s">
        <v>51</v>
      </c>
      <c r="M252" t="e">
        <f>IF(OR(#REF!="UP",#REF!="DOWN"),0,1)</f>
        <v>#REF!</v>
      </c>
      <c r="N252" t="e">
        <f>IF(OR(#REF!="UP",#REF!="DOWN"),VLOOKUP($C252,Configuración!$H$2:$K$11,3),1)</f>
        <v>#REF!</v>
      </c>
      <c r="O252" t="e">
        <f>IF(OR(#REF!="UP",#REF!="DOWN"),VLOOKUP($C252,Configuración!$H$2:$K$11,4),1)</f>
        <v>#REF!</v>
      </c>
      <c r="P252" t="e">
        <f t="shared" si="33"/>
        <v>#REF!</v>
      </c>
      <c r="Q252" t="e">
        <f t="shared" si="34"/>
        <v>#REF!</v>
      </c>
      <c r="R252" t="e">
        <f t="shared" si="42"/>
        <v>#REF!</v>
      </c>
      <c r="T252" t="e">
        <f>IF(R252&lt;&gt;0,Configuración!$E$2,0)</f>
        <v>#REF!</v>
      </c>
      <c r="U252" t="e">
        <f>IF(R252&lt;&gt;0,Configuración!$F$2,0)</f>
        <v>#REF!</v>
      </c>
      <c r="V252" t="e">
        <f>IF(R252&lt;&gt;0,Configuración!$G$2,0)</f>
        <v>#REF!</v>
      </c>
      <c r="W252" t="e">
        <f t="shared" si="35"/>
        <v>#REF!</v>
      </c>
      <c r="X252" t="e">
        <f t="shared" si="36"/>
        <v>#REF!</v>
      </c>
      <c r="Z252" t="e">
        <f t="shared" si="37"/>
        <v>#REF!</v>
      </c>
      <c r="AB252" t="e">
        <f t="shared" si="38"/>
        <v>#REF!</v>
      </c>
      <c r="AG252" t="e">
        <f t="shared" si="39"/>
        <v>#REF!</v>
      </c>
      <c r="AH252" s="5" t="e">
        <f t="shared" si="40"/>
        <v>#REF!</v>
      </c>
      <c r="AI252" t="e">
        <f t="shared" si="41"/>
        <v>#REF!</v>
      </c>
    </row>
    <row r="253" spans="1:35" x14ac:dyDescent="0.55000000000000004">
      <c r="C253" t="s">
        <v>27</v>
      </c>
      <c r="D253" t="e">
        <f>IF(COUNTIF(#REF!,"&lt;&gt;NAN")=0, 0, IF(AND(OR(#REF!=#REF!,#REF!="NAN"), OR(#REF!=#REF!,#REF!="NAN"), OR(#REF!=#REF!,#REF!="NAN")),#REF!, 0))</f>
        <v>#REF!</v>
      </c>
      <c r="E253" t="e">
        <f>IF(#REF!="NAN","",IF(
   AND(OR(#REF!=#REF!,#REF!="NAN"),
     OR(#REF!=#REF!,#REF!="NAN"),
     OR(#REF!=#REF!,#REF!="NAN")),
   1,
   0))</f>
        <v>#REF!</v>
      </c>
      <c r="F253" t="s">
        <v>51</v>
      </c>
      <c r="G253" t="e">
        <f>IF(OR(#REF!="UP",#REF!="DOWN"),1,0)</f>
        <v>#REF!</v>
      </c>
      <c r="H253" t="e">
        <f>IF(OR(#REF!="UP",#REF!="DOWN"),1,0)</f>
        <v>#REF!</v>
      </c>
      <c r="I253" t="e">
        <f>IF(OR(#REF!="UP",#REF!="DOWN"),1,0)</f>
        <v>#REF!</v>
      </c>
      <c r="J253" t="s">
        <v>51</v>
      </c>
      <c r="K253" t="s">
        <v>79</v>
      </c>
      <c r="M253" t="e">
        <f>IF(OR(#REF!="UP",#REF!="DOWN"),0,1)</f>
        <v>#REF!</v>
      </c>
      <c r="N253" t="e">
        <f>IF(OR(#REF!="UP",#REF!="DOWN"),VLOOKUP($C253,Configuración!$H$2:$K$11,3),1)</f>
        <v>#REF!</v>
      </c>
      <c r="O253" t="e">
        <f>IF(OR(#REF!="UP",#REF!="DOWN"),VLOOKUP($C253,Configuración!$H$2:$K$11,4),1)</f>
        <v>#REF!</v>
      </c>
      <c r="P253" t="e">
        <f t="shared" si="33"/>
        <v>#REF!</v>
      </c>
      <c r="Q253" t="e">
        <f t="shared" si="34"/>
        <v>#REF!</v>
      </c>
      <c r="R253" t="e">
        <f t="shared" si="42"/>
        <v>#REF!</v>
      </c>
      <c r="T253" t="e">
        <f>IF(R253&lt;&gt;0,Configuración!$E$2,0)</f>
        <v>#REF!</v>
      </c>
      <c r="U253" t="e">
        <f>IF(R253&lt;&gt;0,Configuración!$F$2,0)</f>
        <v>#REF!</v>
      </c>
      <c r="V253" t="e">
        <f>IF(R253&lt;&gt;0,Configuración!$G$2,0)</f>
        <v>#REF!</v>
      </c>
      <c r="W253" t="e">
        <f t="shared" si="35"/>
        <v>#REF!</v>
      </c>
      <c r="X253" t="e">
        <f t="shared" si="36"/>
        <v>#REF!</v>
      </c>
      <c r="Z253" t="e">
        <f t="shared" si="37"/>
        <v>#REF!</v>
      </c>
      <c r="AB253" t="e">
        <f t="shared" si="38"/>
        <v>#REF!</v>
      </c>
      <c r="AG253" t="e">
        <f t="shared" si="39"/>
        <v>#REF!</v>
      </c>
      <c r="AH253" s="5" t="e">
        <f t="shared" si="40"/>
        <v>#REF!</v>
      </c>
      <c r="AI253" t="e">
        <f t="shared" si="41"/>
        <v>#REF!</v>
      </c>
    </row>
    <row r="254" spans="1:35" x14ac:dyDescent="0.55000000000000004">
      <c r="C254" t="s">
        <v>28</v>
      </c>
      <c r="D254" t="e">
        <f>IF(COUNTIF(#REF!,"&lt;&gt;NAN")=0, 0, IF(AND(OR(#REF!=#REF!,#REF!="NAN"), OR(#REF!=#REF!,#REF!="NAN"), OR(#REF!=#REF!,#REF!="NAN")),#REF!, 0))</f>
        <v>#REF!</v>
      </c>
      <c r="E254" t="e">
        <f>IF(#REF!="NAN","",IF(
   AND(OR(#REF!=#REF!,#REF!="NAN"),
     OR(#REF!=#REF!,#REF!="NAN"),
     OR(#REF!=#REF!,#REF!="NAN")),
   1,
   0))</f>
        <v>#REF!</v>
      </c>
      <c r="F254" t="s">
        <v>51</v>
      </c>
      <c r="G254" t="e">
        <f>IF(OR(#REF!="UP",#REF!="DOWN"),1,0)</f>
        <v>#REF!</v>
      </c>
      <c r="H254" t="e">
        <f>IF(OR(#REF!="UP",#REF!="DOWN"),1,0)</f>
        <v>#REF!</v>
      </c>
      <c r="I254" t="e">
        <f>IF(OR(#REF!="UP",#REF!="DOWN"),1,0)</f>
        <v>#REF!</v>
      </c>
      <c r="J254" t="s">
        <v>51</v>
      </c>
      <c r="K254" t="s">
        <v>80</v>
      </c>
      <c r="M254" t="e">
        <f>IF(OR(#REF!="UP",#REF!="DOWN"),0,1)</f>
        <v>#REF!</v>
      </c>
      <c r="N254" t="e">
        <f>IF(OR(#REF!="UP",#REF!="DOWN"),VLOOKUP($C254,Configuración!$H$2:$K$11,3),1)</f>
        <v>#REF!</v>
      </c>
      <c r="O254" t="e">
        <f>IF(OR(#REF!="UP",#REF!="DOWN"),VLOOKUP($C254,Configuración!$H$2:$K$11,4),1)</f>
        <v>#REF!</v>
      </c>
      <c r="P254" t="e">
        <f t="shared" si="33"/>
        <v>#REF!</v>
      </c>
      <c r="Q254" t="e">
        <f t="shared" si="34"/>
        <v>#REF!</v>
      </c>
      <c r="R254" t="e">
        <f t="shared" si="42"/>
        <v>#REF!</v>
      </c>
      <c r="T254" t="e">
        <f>IF(R254&lt;&gt;0,Configuración!$E$2,0)</f>
        <v>#REF!</v>
      </c>
      <c r="U254" t="e">
        <f>IF(R254&lt;&gt;0,Configuración!$F$2,0)</f>
        <v>#REF!</v>
      </c>
      <c r="V254" t="e">
        <f>IF(R254&lt;&gt;0,Configuración!$G$2,0)</f>
        <v>#REF!</v>
      </c>
      <c r="W254" t="e">
        <f t="shared" si="35"/>
        <v>#REF!</v>
      </c>
      <c r="X254" t="e">
        <f t="shared" si="36"/>
        <v>#REF!</v>
      </c>
      <c r="Z254" t="e">
        <f t="shared" si="37"/>
        <v>#REF!</v>
      </c>
      <c r="AB254" t="e">
        <f t="shared" si="38"/>
        <v>#REF!</v>
      </c>
      <c r="AG254" t="e">
        <f t="shared" si="39"/>
        <v>#REF!</v>
      </c>
      <c r="AH254" s="5" t="e">
        <f t="shared" si="40"/>
        <v>#REF!</v>
      </c>
      <c r="AI254" t="e">
        <f t="shared" si="41"/>
        <v>#REF!</v>
      </c>
    </row>
    <row r="255" spans="1:35" x14ac:dyDescent="0.55000000000000004">
      <c r="C255" t="s">
        <v>30</v>
      </c>
      <c r="D255" t="e">
        <f>IF(COUNTIF(#REF!,"&lt;&gt;NAN")=0, 0, IF(AND(OR(#REF!=#REF!,#REF!="NAN"), OR(#REF!=#REF!,#REF!="NAN"), OR(#REF!=#REF!,#REF!="NAN")),#REF!, 0))</f>
        <v>#REF!</v>
      </c>
      <c r="E255" t="e">
        <f>IF(#REF!="NAN","",IF(
   AND(OR(#REF!=#REF!,#REF!="NAN"),
     OR(#REF!=#REF!,#REF!="NAN"),
     OR(#REF!=#REF!,#REF!="NAN")),
   1,
   0))</f>
        <v>#REF!</v>
      </c>
      <c r="F255" t="s">
        <v>51</v>
      </c>
      <c r="G255" t="e">
        <f>IF(OR(#REF!="UP",#REF!="DOWN"),1,0)</f>
        <v>#REF!</v>
      </c>
      <c r="H255" t="e">
        <f>IF(OR(#REF!="UP",#REF!="DOWN"),1,0)</f>
        <v>#REF!</v>
      </c>
      <c r="I255" t="e">
        <f>IF(OR(#REF!="UP",#REF!="DOWN"),1,0)</f>
        <v>#REF!</v>
      </c>
      <c r="J255" t="s">
        <v>51</v>
      </c>
      <c r="M255" t="e">
        <f>IF(OR(#REF!="UP",#REF!="DOWN"),0,1)</f>
        <v>#REF!</v>
      </c>
      <c r="N255" t="e">
        <f>IF(OR(#REF!="UP",#REF!="DOWN"),VLOOKUP($C255,Configuración!$H$2:$K$11,3),1)</f>
        <v>#REF!</v>
      </c>
      <c r="O255" t="e">
        <f>IF(OR(#REF!="UP",#REF!="DOWN"),VLOOKUP($C255,Configuración!$H$2:$K$11,4),1)</f>
        <v>#REF!</v>
      </c>
      <c r="P255" t="e">
        <f t="shared" si="33"/>
        <v>#REF!</v>
      </c>
      <c r="Q255" t="e">
        <f t="shared" si="34"/>
        <v>#REF!</v>
      </c>
      <c r="R255" t="e">
        <f t="shared" si="42"/>
        <v>#REF!</v>
      </c>
      <c r="T255" t="e">
        <f>IF(R255&lt;&gt;0,Configuración!$E$2,0)</f>
        <v>#REF!</v>
      </c>
      <c r="U255" t="e">
        <f>IF(R255&lt;&gt;0,Configuración!$F$2,0)</f>
        <v>#REF!</v>
      </c>
      <c r="V255" t="e">
        <f>IF(R255&lt;&gt;0,Configuración!$G$2,0)</f>
        <v>#REF!</v>
      </c>
      <c r="W255" t="e">
        <f t="shared" si="35"/>
        <v>#REF!</v>
      </c>
      <c r="X255" t="e">
        <f t="shared" si="36"/>
        <v>#REF!</v>
      </c>
      <c r="Z255" t="e">
        <f t="shared" si="37"/>
        <v>#REF!</v>
      </c>
      <c r="AB255" t="e">
        <f t="shared" si="38"/>
        <v>#REF!</v>
      </c>
      <c r="AG255" t="e">
        <f t="shared" si="39"/>
        <v>#REF!</v>
      </c>
      <c r="AH255" s="5" t="e">
        <f t="shared" si="40"/>
        <v>#REF!</v>
      </c>
      <c r="AI255" t="e">
        <f t="shared" si="41"/>
        <v>#REF!</v>
      </c>
    </row>
    <row r="256" spans="1:35" x14ac:dyDescent="0.55000000000000004">
      <c r="C256" t="s">
        <v>29</v>
      </c>
      <c r="D256" t="e">
        <f>IF(COUNTIF(#REF!,"&lt;&gt;NAN")=0, 0, IF(AND(OR(#REF!=#REF!,#REF!="NAN"), OR(#REF!=#REF!,#REF!="NAN"), OR(#REF!=#REF!,#REF!="NAN")),#REF!, 0))</f>
        <v>#REF!</v>
      </c>
      <c r="E256" t="e">
        <f>IF(#REF!="NAN","",IF(
   AND(OR(#REF!=#REF!,#REF!="NAN"),
     OR(#REF!=#REF!,#REF!="NAN"),
     OR(#REF!=#REF!,#REF!="NAN")),
   1,
   0))</f>
        <v>#REF!</v>
      </c>
      <c r="F256" t="s">
        <v>51</v>
      </c>
      <c r="G256" t="e">
        <f>IF(OR(#REF!="UP",#REF!="DOWN"),1,0)</f>
        <v>#REF!</v>
      </c>
      <c r="H256" t="e">
        <f>IF(OR(#REF!="UP",#REF!="DOWN"),1,0)</f>
        <v>#REF!</v>
      </c>
      <c r="I256" t="e">
        <f>IF(OR(#REF!="UP",#REF!="DOWN"),1,0)</f>
        <v>#REF!</v>
      </c>
      <c r="J256" t="s">
        <v>51</v>
      </c>
      <c r="M256" t="e">
        <f>IF(OR(#REF!="UP",#REF!="DOWN"),0,1)</f>
        <v>#REF!</v>
      </c>
      <c r="N256" t="e">
        <f>IF(OR(#REF!="UP",#REF!="DOWN"),VLOOKUP($C256,Configuración!$H$2:$K$11,3),1)</f>
        <v>#REF!</v>
      </c>
      <c r="O256" t="e">
        <f>IF(OR(#REF!="UP",#REF!="DOWN"),VLOOKUP($C256,Configuración!$H$2:$K$11,4),1)</f>
        <v>#REF!</v>
      </c>
      <c r="P256" t="e">
        <f t="shared" si="33"/>
        <v>#REF!</v>
      </c>
      <c r="Q256" t="e">
        <f t="shared" si="34"/>
        <v>#REF!</v>
      </c>
      <c r="R256" t="e">
        <f t="shared" si="42"/>
        <v>#REF!</v>
      </c>
      <c r="T256" t="e">
        <f>IF(R256&lt;&gt;0,Configuración!$E$2,0)</f>
        <v>#REF!</v>
      </c>
      <c r="U256" t="e">
        <f>IF(R256&lt;&gt;0,Configuración!$F$2,0)</f>
        <v>#REF!</v>
      </c>
      <c r="V256" t="e">
        <f>IF(R256&lt;&gt;0,Configuración!$G$2,0)</f>
        <v>#REF!</v>
      </c>
      <c r="W256" t="e">
        <f t="shared" si="35"/>
        <v>#REF!</v>
      </c>
      <c r="X256" t="e">
        <f t="shared" si="36"/>
        <v>#REF!</v>
      </c>
      <c r="Z256" t="e">
        <f t="shared" si="37"/>
        <v>#REF!</v>
      </c>
      <c r="AB256" t="e">
        <f t="shared" si="38"/>
        <v>#REF!</v>
      </c>
      <c r="AG256" t="e">
        <f t="shared" si="39"/>
        <v>#REF!</v>
      </c>
      <c r="AH256" s="5" t="e">
        <f t="shared" si="40"/>
        <v>#REF!</v>
      </c>
      <c r="AI256" t="e">
        <f t="shared" si="41"/>
        <v>#REF!</v>
      </c>
    </row>
    <row r="257" spans="1:35" x14ac:dyDescent="0.55000000000000004">
      <c r="C257" t="s">
        <v>31</v>
      </c>
      <c r="D257" t="e">
        <f>IF(COUNTIF(#REF!,"&lt;&gt;NAN")=0, 0, IF(AND(OR(#REF!=#REF!,#REF!="NAN"), OR(#REF!=#REF!,#REF!="NAN"), OR(#REF!=#REF!,#REF!="NAN")),#REF!, 0))</f>
        <v>#REF!</v>
      </c>
      <c r="E257" t="e">
        <f>IF(#REF!="NAN","",IF(
   AND(OR(#REF!=#REF!,#REF!="NAN"),
     OR(#REF!=#REF!,#REF!="NAN"),
     OR(#REF!=#REF!,#REF!="NAN")),
   1,
   0))</f>
        <v>#REF!</v>
      </c>
      <c r="F257" t="s">
        <v>37</v>
      </c>
      <c r="G257" t="e">
        <f>IF(OR(#REF!="UP",#REF!="DOWN"),1,0)</f>
        <v>#REF!</v>
      </c>
      <c r="H257" t="e">
        <f>IF(OR(#REF!="UP",#REF!="DOWN"),1,0)</f>
        <v>#REF!</v>
      </c>
      <c r="I257" t="e">
        <f>IF(OR(#REF!="UP",#REF!="DOWN"),1,0)</f>
        <v>#REF!</v>
      </c>
      <c r="J257" t="s">
        <v>37</v>
      </c>
      <c r="M257" t="e">
        <f>IF(OR(#REF!="UP",#REF!="DOWN"),0,1)</f>
        <v>#REF!</v>
      </c>
      <c r="N257" t="e">
        <f>IF(OR(#REF!="UP",#REF!="DOWN"),VLOOKUP($C257,Configuración!$H$2:$K$11,3),1)</f>
        <v>#REF!</v>
      </c>
      <c r="O257" t="e">
        <f>IF(OR(#REF!="UP",#REF!="DOWN"),VLOOKUP($C257,Configuración!$H$2:$K$11,4),1)</f>
        <v>#REF!</v>
      </c>
      <c r="P257" t="e">
        <f t="shared" si="33"/>
        <v>#REF!</v>
      </c>
      <c r="Q257" t="e">
        <f t="shared" si="34"/>
        <v>#REF!</v>
      </c>
      <c r="R257" t="e">
        <f t="shared" si="42"/>
        <v>#REF!</v>
      </c>
      <c r="T257" t="e">
        <f>IF(R257&lt;&gt;0,Configuración!$E$2,0)</f>
        <v>#REF!</v>
      </c>
      <c r="U257" t="e">
        <f>IF(R257&lt;&gt;0,Configuración!$F$2,0)</f>
        <v>#REF!</v>
      </c>
      <c r="V257" t="e">
        <f>IF(R257&lt;&gt;0,Configuración!$G$2,0)</f>
        <v>#REF!</v>
      </c>
      <c r="W257" t="e">
        <f t="shared" si="35"/>
        <v>#REF!</v>
      </c>
      <c r="X257" t="e">
        <f t="shared" si="36"/>
        <v>#REF!</v>
      </c>
      <c r="Z257" t="e">
        <f t="shared" si="37"/>
        <v>#REF!</v>
      </c>
      <c r="AB257" t="e">
        <f t="shared" si="38"/>
        <v>#REF!</v>
      </c>
      <c r="AG257" t="e">
        <f t="shared" si="39"/>
        <v>#REF!</v>
      </c>
      <c r="AH257" s="5" t="e">
        <f t="shared" si="40"/>
        <v>#REF!</v>
      </c>
      <c r="AI257" t="e">
        <f t="shared" si="41"/>
        <v>#REF!</v>
      </c>
    </row>
    <row r="258" spans="1:35" x14ac:dyDescent="0.55000000000000004">
      <c r="A258">
        <v>30102025</v>
      </c>
      <c r="C258" t="s">
        <v>32</v>
      </c>
      <c r="D258" t="e">
        <f>IF(COUNTIF(#REF!,"&lt;&gt;NAN")=0, 0, IF(AND(OR(#REF!=#REF!,#REF!="NAN"), OR(#REF!=#REF!,#REF!="NAN"), OR(#REF!=#REF!,#REF!="NAN")),#REF!, 0))</f>
        <v>#REF!</v>
      </c>
      <c r="E258" t="e">
        <f>IF(#REF!="NAN","",IF(
   AND(OR(#REF!=#REF!,#REF!="NAN"),
     OR(#REF!=#REF!,#REF!="NAN"),
     OR(#REF!=#REF!,#REF!="NAN")),
   1,
   0))</f>
        <v>#REF!</v>
      </c>
      <c r="F258" t="s">
        <v>38</v>
      </c>
      <c r="G258" t="e">
        <f>IF(OR(#REF!="UP",#REF!="DOWN"),1,0)</f>
        <v>#REF!</v>
      </c>
      <c r="H258" t="e">
        <f>IF(OR(#REF!="UP",#REF!="DOWN"),1,0)</f>
        <v>#REF!</v>
      </c>
      <c r="I258" t="e">
        <f>IF(OR(#REF!="UP",#REF!="DOWN"),1,0)</f>
        <v>#REF!</v>
      </c>
      <c r="M258" t="e">
        <f>IF(OR(#REF!="UP",#REF!="DOWN"),0,1)</f>
        <v>#REF!</v>
      </c>
      <c r="N258" t="e">
        <f>IF(OR(#REF!="UP",#REF!="DOWN"),VLOOKUP($C258,Configuración!$H$2:$K$11,3),1)</f>
        <v>#REF!</v>
      </c>
      <c r="O258" t="e">
        <f>IF(OR(#REF!="UP",#REF!="DOWN"),VLOOKUP($C258,Configuración!$H$2:$K$11,4),1)</f>
        <v>#REF!</v>
      </c>
      <c r="P258" t="e">
        <f t="shared" si="33"/>
        <v>#REF!</v>
      </c>
      <c r="Q258" t="e">
        <f t="shared" si="34"/>
        <v>#REF!</v>
      </c>
      <c r="R258" t="e">
        <f t="shared" si="42"/>
        <v>#REF!</v>
      </c>
      <c r="T258" t="e">
        <f>IF(R258&lt;&gt;0,Configuración!$E$2,0)</f>
        <v>#REF!</v>
      </c>
      <c r="U258" t="e">
        <f>IF(R258&lt;&gt;0,Configuración!$F$2,0)</f>
        <v>#REF!</v>
      </c>
      <c r="V258" t="e">
        <f>IF(R258&lt;&gt;0,Configuración!$G$2,0)</f>
        <v>#REF!</v>
      </c>
      <c r="W258" t="e">
        <f t="shared" si="35"/>
        <v>#REF!</v>
      </c>
      <c r="X258" t="e">
        <f t="shared" si="36"/>
        <v>#REF!</v>
      </c>
      <c r="Z258" t="e">
        <f t="shared" si="37"/>
        <v>#REF!</v>
      </c>
      <c r="AB258" t="e">
        <f t="shared" si="38"/>
        <v>#REF!</v>
      </c>
      <c r="AG258" t="e">
        <f t="shared" si="39"/>
        <v>#REF!</v>
      </c>
      <c r="AH258" s="5" t="e">
        <f t="shared" si="40"/>
        <v>#REF!</v>
      </c>
      <c r="AI258" t="e">
        <f t="shared" si="41"/>
        <v>#REF!</v>
      </c>
    </row>
    <row r="259" spans="1:35" x14ac:dyDescent="0.55000000000000004">
      <c r="C259" t="s">
        <v>26</v>
      </c>
      <c r="D259" t="e">
        <f>IF(COUNTIF(#REF!,"&lt;&gt;NAN")=0, 0, IF(AND(OR(#REF!=#REF!,#REF!="NAN"), OR(#REF!=#REF!,#REF!="NAN"), OR(#REF!=#REF!,#REF!="NAN")),#REF!, 0))</f>
        <v>#REF!</v>
      </c>
      <c r="E259" t="e">
        <f>IF(#REF!="NAN","",IF(
   AND(OR(#REF!=#REF!,#REF!="NAN"),
     OR(#REF!=#REF!,#REF!="NAN"),
     OR(#REF!=#REF!,#REF!="NAN")),
   1,
   0))</f>
        <v>#REF!</v>
      </c>
      <c r="F259" t="s">
        <v>38</v>
      </c>
      <c r="G259" t="e">
        <f>IF(OR(#REF!="UP",#REF!="DOWN"),1,0)</f>
        <v>#REF!</v>
      </c>
      <c r="H259" t="e">
        <f>IF(OR(#REF!="UP",#REF!="DOWN"),1,0)</f>
        <v>#REF!</v>
      </c>
      <c r="I259" t="e">
        <f>IF(OR(#REF!="UP",#REF!="DOWN"),1,0)</f>
        <v>#REF!</v>
      </c>
      <c r="M259" t="e">
        <f>IF(OR(#REF!="UP",#REF!="DOWN"),0,1)</f>
        <v>#REF!</v>
      </c>
      <c r="N259" t="e">
        <f>IF(OR(#REF!="UP",#REF!="DOWN"),VLOOKUP($C259,Configuración!$H$2:$K$11,3),1)</f>
        <v>#REF!</v>
      </c>
      <c r="O259" t="e">
        <f>IF(OR(#REF!="UP",#REF!="DOWN"),VLOOKUP($C259,Configuración!$H$2:$K$11,4),1)</f>
        <v>#REF!</v>
      </c>
      <c r="P259" t="e">
        <f t="shared" si="33"/>
        <v>#REF!</v>
      </c>
      <c r="Q259" t="e">
        <f t="shared" si="34"/>
        <v>#REF!</v>
      </c>
      <c r="R259" t="e">
        <f t="shared" si="42"/>
        <v>#REF!</v>
      </c>
      <c r="T259" t="e">
        <f>IF(R259&lt;&gt;0,Configuración!$E$2,0)</f>
        <v>#REF!</v>
      </c>
      <c r="U259" t="e">
        <f>IF(R259&lt;&gt;0,Configuración!$F$2,0)</f>
        <v>#REF!</v>
      </c>
      <c r="V259" t="e">
        <f>IF(R259&lt;&gt;0,Configuración!$G$2,0)</f>
        <v>#REF!</v>
      </c>
      <c r="W259" t="e">
        <f t="shared" si="35"/>
        <v>#REF!</v>
      </c>
      <c r="X259" t="e">
        <f t="shared" si="36"/>
        <v>#REF!</v>
      </c>
      <c r="Z259" t="e">
        <f t="shared" si="37"/>
        <v>#REF!</v>
      </c>
      <c r="AB259" t="e">
        <f t="shared" si="38"/>
        <v>#REF!</v>
      </c>
      <c r="AG259" t="e">
        <f t="shared" si="39"/>
        <v>#REF!</v>
      </c>
      <c r="AH259" s="5" t="e">
        <f t="shared" si="40"/>
        <v>#REF!</v>
      </c>
      <c r="AI259" t="e">
        <f t="shared" si="41"/>
        <v>#REF!</v>
      </c>
    </row>
    <row r="260" spans="1:35" x14ac:dyDescent="0.55000000000000004">
      <c r="C260" t="s">
        <v>33</v>
      </c>
      <c r="D260" t="e">
        <f>IF(COUNTIF(#REF!,"&lt;&gt;NAN")=0, 0, IF(AND(OR(#REF!=#REF!,#REF!="NAN"), OR(#REF!=#REF!,#REF!="NAN"), OR(#REF!=#REF!,#REF!="NAN")),#REF!, 0))</f>
        <v>#REF!</v>
      </c>
      <c r="E260" t="e">
        <f>IF(#REF!="NAN","",IF(
   AND(OR(#REF!=#REF!,#REF!="NAN"),
     OR(#REF!=#REF!,#REF!="NAN"),
     OR(#REF!=#REF!,#REF!="NAN")),
   1,
   0))</f>
        <v>#REF!</v>
      </c>
      <c r="F260" t="s">
        <v>38</v>
      </c>
      <c r="G260" t="e">
        <f>IF(OR(#REF!="UP",#REF!="DOWN"),1,0)</f>
        <v>#REF!</v>
      </c>
      <c r="H260" t="e">
        <f>IF(OR(#REF!="UP",#REF!="DOWN"),1,0)</f>
        <v>#REF!</v>
      </c>
      <c r="I260" t="e">
        <f>IF(OR(#REF!="UP",#REF!="DOWN"),1,0)</f>
        <v>#REF!</v>
      </c>
      <c r="M260" t="e">
        <f>IF(OR(#REF!="UP",#REF!="DOWN"),0,1)</f>
        <v>#REF!</v>
      </c>
      <c r="N260" t="e">
        <f>IF(OR(#REF!="UP",#REF!="DOWN"),VLOOKUP($C260,Configuración!$H$2:$K$11,3),1)</f>
        <v>#REF!</v>
      </c>
      <c r="O260" t="e">
        <f>IF(OR(#REF!="UP",#REF!="DOWN"),VLOOKUP($C260,Configuración!$H$2:$K$11,4),1)</f>
        <v>#REF!</v>
      </c>
      <c r="P260" t="e">
        <f t="shared" ref="P260:P323" si="43">IF(SUM(G260:I260)=0,
    0,
    IF(SUM(G260:I260)=1,
        G260*M260 + H260*N260 + I260*O260,
        IF(SUM(G260:I260)=2,
            1 - PRODUCT(
                IF(G260=1,1-M260,1),
                IF(H260=1,1-N260,1),
                IF(I260=1,1-O260,1)
            ),
            IF(SUM(G260:I260)=3,
                1 - PRODUCT(1-M260,1-N260,1-O260),
                0
            )
        )
    )
)</f>
        <v>#REF!</v>
      </c>
      <c r="Q260" t="e">
        <f t="shared" ref="Q260:Q323" si="44">P260*E260</f>
        <v>#REF!</v>
      </c>
      <c r="R260" t="e">
        <f t="shared" si="42"/>
        <v>#REF!</v>
      </c>
      <c r="T260" t="e">
        <f>IF(R260&lt;&gt;0,Configuración!$E$2,0)</f>
        <v>#REF!</v>
      </c>
      <c r="U260" t="e">
        <f>IF(R260&lt;&gt;0,Configuración!$F$2,0)</f>
        <v>#REF!</v>
      </c>
      <c r="V260" t="e">
        <f>IF(R260&lt;&gt;0,Configuración!$G$2,0)</f>
        <v>#REF!</v>
      </c>
      <c r="W260" t="e">
        <f t="shared" ref="W260:W323" si="45">IF(R260="DOWN",S260+(S260*T260/100),S260-(S260*T260/100))</f>
        <v>#REF!</v>
      </c>
      <c r="X260" t="e">
        <f t="shared" ref="X260:X323" si="46">IF(R260="DOWN",S260-(S260*U260/100),S260+(S260*U260/100))</f>
        <v>#REF!</v>
      </c>
      <c r="Z260" t="e">
        <f t="shared" ref="Z260:Z323" si="47">IF(R260="DOWN",IF(Y260 &lt; S260 * (1 - 0.01), Y260 * (1 + 0.005), ""),IF(Y260 &gt; S260 * (1 + 0.01), Y260 * (1 - 0.005), ""))</f>
        <v>#REF!</v>
      </c>
      <c r="AB260" t="e">
        <f t="shared" ref="AB260:AB323" si="48">(($B$1) *(T260))/100</f>
        <v>#REF!</v>
      </c>
      <c r="AG260" t="e">
        <f t="shared" ref="AG260:AG323" si="49">IF(R260="DOWN",(S260-AA260)/S260*1000,(AA260-S260)/S260*1000)</f>
        <v>#REF!</v>
      </c>
      <c r="AH260" s="5" t="e">
        <f t="shared" ref="AH260:AH323" si="50">AB260*(AG260)</f>
        <v>#REF!</v>
      </c>
      <c r="AI260" t="e">
        <f t="shared" ref="AI260:AI323" si="51">IF(AK260&lt;V260,"MANTENER","CERRAR")</f>
        <v>#REF!</v>
      </c>
    </row>
    <row r="261" spans="1:35" x14ac:dyDescent="0.55000000000000004">
      <c r="C261" t="s">
        <v>35</v>
      </c>
      <c r="D261" t="e">
        <f>IF(COUNTIF(#REF!,"&lt;&gt;NAN")=0, 0, IF(AND(OR(#REF!=#REF!,#REF!="NAN"), OR(#REF!=#REF!,#REF!="NAN"), OR(#REF!=#REF!,#REF!="NAN")),#REF!, 0))</f>
        <v>#REF!</v>
      </c>
      <c r="E261" t="e">
        <f>IF(#REF!="NAN","",IF(
   AND(OR(#REF!=#REF!,#REF!="NAN"),
     OR(#REF!=#REF!,#REF!="NAN"),
     OR(#REF!=#REF!,#REF!="NAN")),
   1,
   0))</f>
        <v>#REF!</v>
      </c>
      <c r="F261" t="s">
        <v>51</v>
      </c>
      <c r="G261" t="e">
        <f>IF(OR(#REF!="UP",#REF!="DOWN"),1,0)</f>
        <v>#REF!</v>
      </c>
      <c r="H261" t="e">
        <f>IF(OR(#REF!="UP",#REF!="DOWN"),1,0)</f>
        <v>#REF!</v>
      </c>
      <c r="I261" t="e">
        <f>IF(OR(#REF!="UP",#REF!="DOWN"),1,0)</f>
        <v>#REF!</v>
      </c>
      <c r="M261" t="e">
        <f>IF(OR(#REF!="UP",#REF!="DOWN"),0,1)</f>
        <v>#REF!</v>
      </c>
      <c r="N261" t="e">
        <f>IF(OR(#REF!="UP",#REF!="DOWN"),VLOOKUP($C261,Configuración!$H$2:$K$11,3),1)</f>
        <v>#REF!</v>
      </c>
      <c r="O261" t="e">
        <f>IF(OR(#REF!="UP",#REF!="DOWN"),VLOOKUP($C261,Configuración!$H$2:$K$11,4),1)</f>
        <v>#REF!</v>
      </c>
      <c r="P261" t="e">
        <f t="shared" si="43"/>
        <v>#REF!</v>
      </c>
      <c r="Q261" t="e">
        <f t="shared" si="44"/>
        <v>#REF!</v>
      </c>
      <c r="R261" t="e">
        <f t="shared" si="42"/>
        <v>#REF!</v>
      </c>
      <c r="T261" t="e">
        <f>IF(R261&lt;&gt;0,Configuración!$E$2,0)</f>
        <v>#REF!</v>
      </c>
      <c r="U261" t="e">
        <f>IF(R261&lt;&gt;0,Configuración!$F$2,0)</f>
        <v>#REF!</v>
      </c>
      <c r="V261" t="e">
        <f>IF(R261&lt;&gt;0,Configuración!$G$2,0)</f>
        <v>#REF!</v>
      </c>
      <c r="W261" t="e">
        <f t="shared" si="45"/>
        <v>#REF!</v>
      </c>
      <c r="X261" t="e">
        <f t="shared" si="46"/>
        <v>#REF!</v>
      </c>
      <c r="Z261" t="e">
        <f t="shared" si="47"/>
        <v>#REF!</v>
      </c>
      <c r="AB261" t="e">
        <f t="shared" si="48"/>
        <v>#REF!</v>
      </c>
      <c r="AG261" t="e">
        <f t="shared" si="49"/>
        <v>#REF!</v>
      </c>
      <c r="AH261" s="5" t="e">
        <f t="shared" si="50"/>
        <v>#REF!</v>
      </c>
      <c r="AI261" t="e">
        <f t="shared" si="51"/>
        <v>#REF!</v>
      </c>
    </row>
    <row r="262" spans="1:35" x14ac:dyDescent="0.55000000000000004">
      <c r="C262" t="s">
        <v>34</v>
      </c>
      <c r="D262" t="e">
        <f>IF(COUNTIF(#REF!,"&lt;&gt;NAN")=0, 0, IF(AND(OR(#REF!=#REF!,#REF!="NAN"), OR(#REF!=#REF!,#REF!="NAN"), OR(#REF!=#REF!,#REF!="NAN")),#REF!, 0))</f>
        <v>#REF!</v>
      </c>
      <c r="E262" t="e">
        <f>IF(#REF!="NAN","",IF(
   AND(OR(#REF!=#REF!,#REF!="NAN"),
     OR(#REF!=#REF!,#REF!="NAN"),
     OR(#REF!=#REF!,#REF!="NAN")),
   1,
   0))</f>
        <v>#REF!</v>
      </c>
      <c r="F262" t="s">
        <v>51</v>
      </c>
      <c r="G262" t="e">
        <f>IF(OR(#REF!="UP",#REF!="DOWN"),1,0)</f>
        <v>#REF!</v>
      </c>
      <c r="H262" t="e">
        <f>IF(OR(#REF!="UP",#REF!="DOWN"),1,0)</f>
        <v>#REF!</v>
      </c>
      <c r="I262" t="e">
        <f>IF(OR(#REF!="UP",#REF!="DOWN"),1,0)</f>
        <v>#REF!</v>
      </c>
      <c r="M262" t="e">
        <f>IF(OR(#REF!="UP",#REF!="DOWN"),0,1)</f>
        <v>#REF!</v>
      </c>
      <c r="N262" t="e">
        <f>IF(OR(#REF!="UP",#REF!="DOWN"),VLOOKUP($C262,Configuración!$H$2:$K$11,3),1)</f>
        <v>#REF!</v>
      </c>
      <c r="O262" t="e">
        <f>IF(OR(#REF!="UP",#REF!="DOWN"),VLOOKUP($C262,Configuración!$H$2:$K$11,4),1)</f>
        <v>#REF!</v>
      </c>
      <c r="P262" t="e">
        <f t="shared" si="43"/>
        <v>#REF!</v>
      </c>
      <c r="Q262" t="e">
        <f t="shared" si="44"/>
        <v>#REF!</v>
      </c>
      <c r="R262" t="e">
        <f t="shared" si="42"/>
        <v>#REF!</v>
      </c>
      <c r="T262" t="e">
        <f>IF(R262&lt;&gt;0,Configuración!$E$2,0)</f>
        <v>#REF!</v>
      </c>
      <c r="U262" t="e">
        <f>IF(R262&lt;&gt;0,Configuración!$F$2,0)</f>
        <v>#REF!</v>
      </c>
      <c r="V262" t="e">
        <f>IF(R262&lt;&gt;0,Configuración!$G$2,0)</f>
        <v>#REF!</v>
      </c>
      <c r="W262" t="e">
        <f t="shared" si="45"/>
        <v>#REF!</v>
      </c>
      <c r="X262" t="e">
        <f t="shared" si="46"/>
        <v>#REF!</v>
      </c>
      <c r="Z262" t="e">
        <f t="shared" si="47"/>
        <v>#REF!</v>
      </c>
      <c r="AB262" t="e">
        <f t="shared" si="48"/>
        <v>#REF!</v>
      </c>
      <c r="AG262" t="e">
        <f t="shared" si="49"/>
        <v>#REF!</v>
      </c>
      <c r="AH262" s="5" t="e">
        <f t="shared" si="50"/>
        <v>#REF!</v>
      </c>
      <c r="AI262" t="e">
        <f t="shared" si="51"/>
        <v>#REF!</v>
      </c>
    </row>
    <row r="263" spans="1:35" x14ac:dyDescent="0.55000000000000004">
      <c r="C263" t="s">
        <v>27</v>
      </c>
      <c r="D263" t="e">
        <f>IF(COUNTIF(#REF!,"&lt;&gt;NAN")=0, 0, IF(AND(OR(#REF!=#REF!,#REF!="NAN"), OR(#REF!=#REF!,#REF!="NAN"), OR(#REF!=#REF!,#REF!="NAN")),#REF!, 0))</f>
        <v>#REF!</v>
      </c>
      <c r="E263" t="e">
        <f>IF(#REF!="NAN","",IF(
   AND(OR(#REF!=#REF!,#REF!="NAN"),
     OR(#REF!=#REF!,#REF!="NAN"),
     OR(#REF!=#REF!,#REF!="NAN")),
   1,
   0))</f>
        <v>#REF!</v>
      </c>
      <c r="F263" t="s">
        <v>51</v>
      </c>
      <c r="G263" t="e">
        <f>IF(OR(#REF!="UP",#REF!="DOWN"),1,0)</f>
        <v>#REF!</v>
      </c>
      <c r="H263" t="e">
        <f>IF(OR(#REF!="UP",#REF!="DOWN"),1,0)</f>
        <v>#REF!</v>
      </c>
      <c r="I263" t="e">
        <f>IF(OR(#REF!="UP",#REF!="DOWN"),1,0)</f>
        <v>#REF!</v>
      </c>
      <c r="M263" t="e">
        <f>IF(OR(#REF!="UP",#REF!="DOWN"),0,1)</f>
        <v>#REF!</v>
      </c>
      <c r="N263" t="e">
        <f>IF(OR(#REF!="UP",#REF!="DOWN"),VLOOKUP($C263,Configuración!$H$2:$K$11,3),1)</f>
        <v>#REF!</v>
      </c>
      <c r="O263" t="e">
        <f>IF(OR(#REF!="UP",#REF!="DOWN"),VLOOKUP($C263,Configuración!$H$2:$K$11,4),1)</f>
        <v>#REF!</v>
      </c>
      <c r="P263" t="e">
        <f t="shared" si="43"/>
        <v>#REF!</v>
      </c>
      <c r="Q263" t="e">
        <f t="shared" si="44"/>
        <v>#REF!</v>
      </c>
      <c r="R263" t="e">
        <f t="shared" si="42"/>
        <v>#REF!</v>
      </c>
      <c r="T263" t="e">
        <f>IF(R263&lt;&gt;0,Configuración!$E$2,0)</f>
        <v>#REF!</v>
      </c>
      <c r="U263" t="e">
        <f>IF(R263&lt;&gt;0,Configuración!$F$2,0)</f>
        <v>#REF!</v>
      </c>
      <c r="V263" t="e">
        <f>IF(R263&lt;&gt;0,Configuración!$G$2,0)</f>
        <v>#REF!</v>
      </c>
      <c r="W263" t="e">
        <f t="shared" si="45"/>
        <v>#REF!</v>
      </c>
      <c r="X263" t="e">
        <f t="shared" si="46"/>
        <v>#REF!</v>
      </c>
      <c r="Z263" t="e">
        <f t="shared" si="47"/>
        <v>#REF!</v>
      </c>
      <c r="AB263" t="e">
        <f t="shared" si="48"/>
        <v>#REF!</v>
      </c>
      <c r="AG263" t="e">
        <f t="shared" si="49"/>
        <v>#REF!</v>
      </c>
      <c r="AH263" s="5" t="e">
        <f t="shared" si="50"/>
        <v>#REF!</v>
      </c>
      <c r="AI263" t="e">
        <f t="shared" si="51"/>
        <v>#REF!</v>
      </c>
    </row>
    <row r="264" spans="1:35" x14ac:dyDescent="0.55000000000000004">
      <c r="C264" t="s">
        <v>28</v>
      </c>
      <c r="D264" t="e">
        <f>IF(COUNTIF(#REF!,"&lt;&gt;NAN")=0, 0, IF(AND(OR(#REF!=#REF!,#REF!="NAN"), OR(#REF!=#REF!,#REF!="NAN"), OR(#REF!=#REF!,#REF!="NAN")),#REF!, 0))</f>
        <v>#REF!</v>
      </c>
      <c r="E264" t="e">
        <f>IF(#REF!="NAN","",IF(
   AND(OR(#REF!=#REF!,#REF!="NAN"),
     OR(#REF!=#REF!,#REF!="NAN"),
     OR(#REF!=#REF!,#REF!="NAN")),
   1,
   0))</f>
        <v>#REF!</v>
      </c>
      <c r="F264" t="s">
        <v>51</v>
      </c>
      <c r="G264" t="e">
        <f>IF(OR(#REF!="UP",#REF!="DOWN"),1,0)</f>
        <v>#REF!</v>
      </c>
      <c r="H264" t="e">
        <f>IF(OR(#REF!="UP",#REF!="DOWN"),1,0)</f>
        <v>#REF!</v>
      </c>
      <c r="I264" t="e">
        <f>IF(OR(#REF!="UP",#REF!="DOWN"),1,0)</f>
        <v>#REF!</v>
      </c>
      <c r="M264" t="e">
        <f>IF(OR(#REF!="UP",#REF!="DOWN"),0,1)</f>
        <v>#REF!</v>
      </c>
      <c r="N264" t="e">
        <f>IF(OR(#REF!="UP",#REF!="DOWN"),VLOOKUP($C264,Configuración!$H$2:$K$11,3),1)</f>
        <v>#REF!</v>
      </c>
      <c r="O264" t="e">
        <f>IF(OR(#REF!="UP",#REF!="DOWN"),VLOOKUP($C264,Configuración!$H$2:$K$11,4),1)</f>
        <v>#REF!</v>
      </c>
      <c r="P264" t="e">
        <f t="shared" si="43"/>
        <v>#REF!</v>
      </c>
      <c r="Q264" t="e">
        <f t="shared" si="44"/>
        <v>#REF!</v>
      </c>
      <c r="R264" t="e">
        <f t="shared" si="42"/>
        <v>#REF!</v>
      </c>
      <c r="T264" t="e">
        <f>IF(R264&lt;&gt;0,Configuración!$E$2,0)</f>
        <v>#REF!</v>
      </c>
      <c r="U264" t="e">
        <f>IF(R264&lt;&gt;0,Configuración!$F$2,0)</f>
        <v>#REF!</v>
      </c>
      <c r="V264" t="e">
        <f>IF(R264&lt;&gt;0,Configuración!$G$2,0)</f>
        <v>#REF!</v>
      </c>
      <c r="W264" t="e">
        <f t="shared" si="45"/>
        <v>#REF!</v>
      </c>
      <c r="X264" t="e">
        <f t="shared" si="46"/>
        <v>#REF!</v>
      </c>
      <c r="Z264" t="e">
        <f t="shared" si="47"/>
        <v>#REF!</v>
      </c>
      <c r="AB264" t="e">
        <f t="shared" si="48"/>
        <v>#REF!</v>
      </c>
      <c r="AG264" t="e">
        <f t="shared" si="49"/>
        <v>#REF!</v>
      </c>
      <c r="AH264" s="5" t="e">
        <f t="shared" si="50"/>
        <v>#REF!</v>
      </c>
      <c r="AI264" t="e">
        <f t="shared" si="51"/>
        <v>#REF!</v>
      </c>
    </row>
    <row r="265" spans="1:35" x14ac:dyDescent="0.55000000000000004">
      <c r="C265" t="s">
        <v>30</v>
      </c>
      <c r="D265" t="e">
        <f>IF(COUNTIF(#REF!,"&lt;&gt;NAN")=0, 0, IF(AND(OR(#REF!=#REF!,#REF!="NAN"), OR(#REF!=#REF!,#REF!="NAN"), OR(#REF!=#REF!,#REF!="NAN")),#REF!, 0))</f>
        <v>#REF!</v>
      </c>
      <c r="E265" t="e">
        <f>IF(#REF!="NAN","",IF(
   AND(OR(#REF!=#REF!,#REF!="NAN"),
     OR(#REF!=#REF!,#REF!="NAN"),
     OR(#REF!=#REF!,#REF!="NAN")),
   1,
   0))</f>
        <v>#REF!</v>
      </c>
      <c r="F265" t="s">
        <v>51</v>
      </c>
      <c r="G265" t="e">
        <f>IF(OR(#REF!="UP",#REF!="DOWN"),1,0)</f>
        <v>#REF!</v>
      </c>
      <c r="H265" t="e">
        <f>IF(OR(#REF!="UP",#REF!="DOWN"),1,0)</f>
        <v>#REF!</v>
      </c>
      <c r="I265" t="e">
        <f>IF(OR(#REF!="UP",#REF!="DOWN"),1,0)</f>
        <v>#REF!</v>
      </c>
      <c r="M265" t="e">
        <f>IF(OR(#REF!="UP",#REF!="DOWN"),0,1)</f>
        <v>#REF!</v>
      </c>
      <c r="N265" t="e">
        <f>IF(OR(#REF!="UP",#REF!="DOWN"),VLOOKUP($C265,Configuración!$H$2:$K$11,3),1)</f>
        <v>#REF!</v>
      </c>
      <c r="O265" t="e">
        <f>IF(OR(#REF!="UP",#REF!="DOWN"),VLOOKUP($C265,Configuración!$H$2:$K$11,4),1)</f>
        <v>#REF!</v>
      </c>
      <c r="P265" t="e">
        <f t="shared" si="43"/>
        <v>#REF!</v>
      </c>
      <c r="Q265" t="e">
        <f t="shared" si="44"/>
        <v>#REF!</v>
      </c>
      <c r="R265" t="e">
        <f t="shared" si="42"/>
        <v>#REF!</v>
      </c>
      <c r="T265" t="e">
        <f>IF(R265&lt;&gt;0,Configuración!$E$2,0)</f>
        <v>#REF!</v>
      </c>
      <c r="U265" t="e">
        <f>IF(R265&lt;&gt;0,Configuración!$F$2,0)</f>
        <v>#REF!</v>
      </c>
      <c r="V265" t="e">
        <f>IF(R265&lt;&gt;0,Configuración!$G$2,0)</f>
        <v>#REF!</v>
      </c>
      <c r="W265" t="e">
        <f t="shared" si="45"/>
        <v>#REF!</v>
      </c>
      <c r="X265" t="e">
        <f t="shared" si="46"/>
        <v>#REF!</v>
      </c>
      <c r="Z265" t="e">
        <f t="shared" si="47"/>
        <v>#REF!</v>
      </c>
      <c r="AB265" t="e">
        <f t="shared" si="48"/>
        <v>#REF!</v>
      </c>
      <c r="AG265" t="e">
        <f t="shared" si="49"/>
        <v>#REF!</v>
      </c>
      <c r="AH265" s="5" t="e">
        <f t="shared" si="50"/>
        <v>#REF!</v>
      </c>
      <c r="AI265" t="e">
        <f t="shared" si="51"/>
        <v>#REF!</v>
      </c>
    </row>
    <row r="266" spans="1:35" x14ac:dyDescent="0.55000000000000004">
      <c r="C266" t="s">
        <v>29</v>
      </c>
      <c r="D266" t="e">
        <f>IF(COUNTIF(#REF!,"&lt;&gt;NAN")=0, 0, IF(AND(OR(#REF!=#REF!,#REF!="NAN"), OR(#REF!=#REF!,#REF!="NAN"), OR(#REF!=#REF!,#REF!="NAN")),#REF!, 0))</f>
        <v>#REF!</v>
      </c>
      <c r="E266" t="e">
        <f>IF(#REF!="NAN","",IF(
   AND(OR(#REF!=#REF!,#REF!="NAN"),
     OR(#REF!=#REF!,#REF!="NAN"),
     OR(#REF!=#REF!,#REF!="NAN")),
   1,
   0))</f>
        <v>#REF!</v>
      </c>
      <c r="F266" t="s">
        <v>37</v>
      </c>
      <c r="G266" t="e">
        <f>IF(OR(#REF!="UP",#REF!="DOWN"),1,0)</f>
        <v>#REF!</v>
      </c>
      <c r="H266" t="e">
        <f>IF(OR(#REF!="UP",#REF!="DOWN"),1,0)</f>
        <v>#REF!</v>
      </c>
      <c r="I266" t="e">
        <f>IF(OR(#REF!="UP",#REF!="DOWN"),1,0)</f>
        <v>#REF!</v>
      </c>
      <c r="M266" t="e">
        <f>IF(OR(#REF!="UP",#REF!="DOWN"),0,1)</f>
        <v>#REF!</v>
      </c>
      <c r="N266" t="e">
        <f>IF(OR(#REF!="UP",#REF!="DOWN"),VLOOKUP($C266,Configuración!$H$2:$K$11,3),1)</f>
        <v>#REF!</v>
      </c>
      <c r="O266" t="e">
        <f>IF(OR(#REF!="UP",#REF!="DOWN"),VLOOKUP($C266,Configuración!$H$2:$K$11,4),1)</f>
        <v>#REF!</v>
      </c>
      <c r="P266" t="e">
        <f t="shared" si="43"/>
        <v>#REF!</v>
      </c>
      <c r="Q266" t="e">
        <f t="shared" si="44"/>
        <v>#REF!</v>
      </c>
      <c r="R266" t="e">
        <f t="shared" si="42"/>
        <v>#REF!</v>
      </c>
      <c r="T266" t="e">
        <f>IF(R266&lt;&gt;0,Configuración!$E$2,0)</f>
        <v>#REF!</v>
      </c>
      <c r="U266" t="e">
        <f>IF(R266&lt;&gt;0,Configuración!$F$2,0)</f>
        <v>#REF!</v>
      </c>
      <c r="V266" t="e">
        <f>IF(R266&lt;&gt;0,Configuración!$G$2,0)</f>
        <v>#REF!</v>
      </c>
      <c r="W266" t="e">
        <f t="shared" si="45"/>
        <v>#REF!</v>
      </c>
      <c r="X266" t="e">
        <f t="shared" si="46"/>
        <v>#REF!</v>
      </c>
      <c r="Z266" t="e">
        <f t="shared" si="47"/>
        <v>#REF!</v>
      </c>
      <c r="AB266" t="e">
        <f t="shared" si="48"/>
        <v>#REF!</v>
      </c>
      <c r="AG266" t="e">
        <f t="shared" si="49"/>
        <v>#REF!</v>
      </c>
      <c r="AH266" s="5" t="e">
        <f t="shared" si="50"/>
        <v>#REF!</v>
      </c>
      <c r="AI266" t="e">
        <f t="shared" si="51"/>
        <v>#REF!</v>
      </c>
    </row>
    <row r="267" spans="1:35" x14ac:dyDescent="0.55000000000000004">
      <c r="C267" t="s">
        <v>31</v>
      </c>
      <c r="D267" t="e">
        <f>IF(COUNTIF(#REF!,"&lt;&gt;NAN")=0, 0, IF(AND(OR(#REF!=#REF!,#REF!="NAN"), OR(#REF!=#REF!,#REF!="NAN"), OR(#REF!=#REF!,#REF!="NAN")),#REF!, 0))</f>
        <v>#REF!</v>
      </c>
      <c r="E267" t="e">
        <f>IF(#REF!="NAN","",IF(
   AND(OR(#REF!=#REF!,#REF!="NAN"),
     OR(#REF!=#REF!,#REF!="NAN"),
     OR(#REF!=#REF!,#REF!="NAN")),
   1,
   0))</f>
        <v>#REF!</v>
      </c>
      <c r="F267" t="s">
        <v>51</v>
      </c>
      <c r="G267" t="e">
        <f>IF(OR(#REF!="UP",#REF!="DOWN"),1,0)</f>
        <v>#REF!</v>
      </c>
      <c r="H267" t="e">
        <f>IF(OR(#REF!="UP",#REF!="DOWN"),1,0)</f>
        <v>#REF!</v>
      </c>
      <c r="I267" t="e">
        <f>IF(OR(#REF!="UP",#REF!="DOWN"),1,0)</f>
        <v>#REF!</v>
      </c>
      <c r="M267" t="e">
        <f>IF(OR(#REF!="UP",#REF!="DOWN"),0,1)</f>
        <v>#REF!</v>
      </c>
      <c r="N267" t="e">
        <f>IF(OR(#REF!="UP",#REF!="DOWN"),VLOOKUP($C267,Configuración!$H$2:$K$11,3),1)</f>
        <v>#REF!</v>
      </c>
      <c r="O267" t="e">
        <f>IF(OR(#REF!="UP",#REF!="DOWN"),VLOOKUP($C267,Configuración!$H$2:$K$11,4),1)</f>
        <v>#REF!</v>
      </c>
      <c r="P267" t="e">
        <f t="shared" si="43"/>
        <v>#REF!</v>
      </c>
      <c r="Q267" t="e">
        <f t="shared" si="44"/>
        <v>#REF!</v>
      </c>
      <c r="R267" t="e">
        <f t="shared" si="42"/>
        <v>#REF!</v>
      </c>
      <c r="T267" t="e">
        <f>IF(R267&lt;&gt;0,Configuración!$E$2,0)</f>
        <v>#REF!</v>
      </c>
      <c r="U267" t="e">
        <f>IF(R267&lt;&gt;0,Configuración!$F$2,0)</f>
        <v>#REF!</v>
      </c>
      <c r="V267" t="e">
        <f>IF(R267&lt;&gt;0,Configuración!$G$2,0)</f>
        <v>#REF!</v>
      </c>
      <c r="W267" t="e">
        <f t="shared" si="45"/>
        <v>#REF!</v>
      </c>
      <c r="X267" t="e">
        <f t="shared" si="46"/>
        <v>#REF!</v>
      </c>
      <c r="Z267" t="e">
        <f t="shared" si="47"/>
        <v>#REF!</v>
      </c>
      <c r="AB267" t="e">
        <f t="shared" si="48"/>
        <v>#REF!</v>
      </c>
      <c r="AG267" t="e">
        <f t="shared" si="49"/>
        <v>#REF!</v>
      </c>
      <c r="AH267" s="5" t="e">
        <f t="shared" si="50"/>
        <v>#REF!</v>
      </c>
      <c r="AI267" t="e">
        <f t="shared" si="51"/>
        <v>#REF!</v>
      </c>
    </row>
    <row r="268" spans="1:35" x14ac:dyDescent="0.55000000000000004">
      <c r="A268">
        <v>31102025</v>
      </c>
      <c r="C268" t="s">
        <v>32</v>
      </c>
      <c r="D268" t="e">
        <f>IF(COUNTIF(#REF!,"&lt;&gt;NAN")=0, 0, IF(AND(OR(#REF!=#REF!,#REF!="NAN"), OR(#REF!=#REF!,#REF!="NAN"), OR(#REF!=#REF!,#REF!="NAN")),#REF!, 0))</f>
        <v>#REF!</v>
      </c>
      <c r="E268" t="e">
        <f>IF(#REF!="NAN","",IF(
   AND(OR(#REF!=#REF!,#REF!="NAN"),
     OR(#REF!=#REF!,#REF!="NAN"),
     OR(#REF!=#REF!,#REF!="NAN")),
   1,
   0))</f>
        <v>#REF!</v>
      </c>
      <c r="F268" t="s">
        <v>38</v>
      </c>
      <c r="G268" t="e">
        <f>IF(OR(#REF!="UP",#REF!="DOWN"),1,0)</f>
        <v>#REF!</v>
      </c>
      <c r="H268" t="e">
        <f>IF(OR(#REF!="UP",#REF!="DOWN"),1,0)</f>
        <v>#REF!</v>
      </c>
      <c r="I268" t="e">
        <f>IF(OR(#REF!="UP",#REF!="DOWN"),1,0)</f>
        <v>#REF!</v>
      </c>
      <c r="M268" t="e">
        <f>IF(OR(#REF!="UP",#REF!="DOWN"),0,1)</f>
        <v>#REF!</v>
      </c>
      <c r="N268" t="e">
        <f>IF(OR(#REF!="UP",#REF!="DOWN"),VLOOKUP($C268,Configuración!$H$2:$K$11,3),1)</f>
        <v>#REF!</v>
      </c>
      <c r="O268" t="e">
        <f>IF(OR(#REF!="UP",#REF!="DOWN"),VLOOKUP($C268,Configuración!$H$2:$K$11,4),1)</f>
        <v>#REF!</v>
      </c>
      <c r="P268" t="e">
        <f t="shared" si="43"/>
        <v>#REF!</v>
      </c>
      <c r="Q268" t="e">
        <f t="shared" si="44"/>
        <v>#REF!</v>
      </c>
      <c r="R268" t="e">
        <f t="shared" si="42"/>
        <v>#REF!</v>
      </c>
      <c r="T268" t="e">
        <f>IF(R268&lt;&gt;0,Configuración!$E$2,0)</f>
        <v>#REF!</v>
      </c>
      <c r="U268" t="e">
        <f>IF(R268&lt;&gt;0,Configuración!$F$2,0)</f>
        <v>#REF!</v>
      </c>
      <c r="V268" t="e">
        <f>IF(R268&lt;&gt;0,Configuración!$G$2,0)</f>
        <v>#REF!</v>
      </c>
      <c r="W268" t="e">
        <f t="shared" si="45"/>
        <v>#REF!</v>
      </c>
      <c r="X268" t="e">
        <f t="shared" si="46"/>
        <v>#REF!</v>
      </c>
      <c r="Z268" t="e">
        <f t="shared" si="47"/>
        <v>#REF!</v>
      </c>
      <c r="AB268" t="e">
        <f t="shared" si="48"/>
        <v>#REF!</v>
      </c>
      <c r="AG268" t="e">
        <f t="shared" si="49"/>
        <v>#REF!</v>
      </c>
      <c r="AH268" s="5" t="e">
        <f t="shared" si="50"/>
        <v>#REF!</v>
      </c>
      <c r="AI268" t="e">
        <f t="shared" si="51"/>
        <v>#REF!</v>
      </c>
    </row>
    <row r="269" spans="1:35" x14ac:dyDescent="0.55000000000000004">
      <c r="C269" t="s">
        <v>26</v>
      </c>
      <c r="D269" t="e">
        <f>IF(COUNTIF(#REF!,"&lt;&gt;NAN")=0, 0, IF(AND(OR(#REF!=#REF!,#REF!="NAN"), OR(#REF!=#REF!,#REF!="NAN"), OR(#REF!=#REF!,#REF!="NAN")),#REF!, 0))</f>
        <v>#REF!</v>
      </c>
      <c r="E269" t="e">
        <f>IF(#REF!="NAN","",IF(
   AND(OR(#REF!=#REF!,#REF!="NAN"),
     OR(#REF!=#REF!,#REF!="NAN"),
     OR(#REF!=#REF!,#REF!="NAN")),
   1,
   0))</f>
        <v>#REF!</v>
      </c>
      <c r="F269" t="s">
        <v>38</v>
      </c>
      <c r="G269" t="e">
        <f>IF(OR(#REF!="UP",#REF!="DOWN"),1,0)</f>
        <v>#REF!</v>
      </c>
      <c r="H269" t="e">
        <f>IF(OR(#REF!="UP",#REF!="DOWN"),1,0)</f>
        <v>#REF!</v>
      </c>
      <c r="I269" t="e">
        <f>IF(OR(#REF!="UP",#REF!="DOWN"),1,0)</f>
        <v>#REF!</v>
      </c>
      <c r="M269" t="e">
        <f>IF(OR(#REF!="UP",#REF!="DOWN"),0,1)</f>
        <v>#REF!</v>
      </c>
      <c r="N269" t="e">
        <f>IF(OR(#REF!="UP",#REF!="DOWN"),VLOOKUP($C269,Configuración!$H$2:$K$11,3),1)</f>
        <v>#REF!</v>
      </c>
      <c r="O269" t="e">
        <f>IF(OR(#REF!="UP",#REF!="DOWN"),VLOOKUP($C269,Configuración!$H$2:$K$11,4),1)</f>
        <v>#REF!</v>
      </c>
      <c r="P269" t="e">
        <f t="shared" si="43"/>
        <v>#REF!</v>
      </c>
      <c r="Q269" t="e">
        <f t="shared" si="44"/>
        <v>#REF!</v>
      </c>
      <c r="R269" t="e">
        <f t="shared" si="42"/>
        <v>#REF!</v>
      </c>
      <c r="T269" t="e">
        <f>IF(R269&lt;&gt;0,Configuración!$E$2,0)</f>
        <v>#REF!</v>
      </c>
      <c r="U269" t="e">
        <f>IF(R269&lt;&gt;0,Configuración!$F$2,0)</f>
        <v>#REF!</v>
      </c>
      <c r="V269" t="e">
        <f>IF(R269&lt;&gt;0,Configuración!$G$2,0)</f>
        <v>#REF!</v>
      </c>
      <c r="W269" t="e">
        <f t="shared" si="45"/>
        <v>#REF!</v>
      </c>
      <c r="X269" t="e">
        <f t="shared" si="46"/>
        <v>#REF!</v>
      </c>
      <c r="Z269" t="e">
        <f t="shared" si="47"/>
        <v>#REF!</v>
      </c>
      <c r="AB269" t="e">
        <f t="shared" si="48"/>
        <v>#REF!</v>
      </c>
      <c r="AG269" t="e">
        <f t="shared" si="49"/>
        <v>#REF!</v>
      </c>
      <c r="AH269" s="5" t="e">
        <f t="shared" si="50"/>
        <v>#REF!</v>
      </c>
      <c r="AI269" t="e">
        <f t="shared" si="51"/>
        <v>#REF!</v>
      </c>
    </row>
    <row r="270" spans="1:35" x14ac:dyDescent="0.55000000000000004">
      <c r="C270" t="s">
        <v>33</v>
      </c>
      <c r="D270" t="e">
        <f>IF(COUNTIF(#REF!,"&lt;&gt;NAN")=0, 0, IF(AND(OR(#REF!=#REF!,#REF!="NAN"), OR(#REF!=#REF!,#REF!="NAN"), OR(#REF!=#REF!,#REF!="NAN")),#REF!, 0))</f>
        <v>#REF!</v>
      </c>
      <c r="E270" t="e">
        <f>IF(#REF!="NAN","",IF(
   AND(OR(#REF!=#REF!,#REF!="NAN"),
     OR(#REF!=#REF!,#REF!="NAN"),
     OR(#REF!=#REF!,#REF!="NAN")),
   1,
   0))</f>
        <v>#REF!</v>
      </c>
      <c r="F270" t="s">
        <v>38</v>
      </c>
      <c r="G270" t="e">
        <f>IF(OR(#REF!="UP",#REF!="DOWN"),1,0)</f>
        <v>#REF!</v>
      </c>
      <c r="H270" t="e">
        <f>IF(OR(#REF!="UP",#REF!="DOWN"),1,0)</f>
        <v>#REF!</v>
      </c>
      <c r="I270" t="e">
        <f>IF(OR(#REF!="UP",#REF!="DOWN"),1,0)</f>
        <v>#REF!</v>
      </c>
      <c r="M270" t="e">
        <f>IF(OR(#REF!="UP",#REF!="DOWN"),0,1)</f>
        <v>#REF!</v>
      </c>
      <c r="N270" t="e">
        <f>IF(OR(#REF!="UP",#REF!="DOWN"),VLOOKUP($C270,Configuración!$H$2:$K$11,3),1)</f>
        <v>#REF!</v>
      </c>
      <c r="O270" t="e">
        <f>IF(OR(#REF!="UP",#REF!="DOWN"),VLOOKUP($C270,Configuración!$H$2:$K$11,4),1)</f>
        <v>#REF!</v>
      </c>
      <c r="P270" t="e">
        <f t="shared" si="43"/>
        <v>#REF!</v>
      </c>
      <c r="Q270" t="e">
        <f t="shared" si="44"/>
        <v>#REF!</v>
      </c>
      <c r="R270" t="e">
        <f t="shared" si="42"/>
        <v>#REF!</v>
      </c>
      <c r="T270" t="e">
        <f>IF(R270&lt;&gt;0,Configuración!$E$2,0)</f>
        <v>#REF!</v>
      </c>
      <c r="U270" t="e">
        <f>IF(R270&lt;&gt;0,Configuración!$F$2,0)</f>
        <v>#REF!</v>
      </c>
      <c r="V270" t="e">
        <f>IF(R270&lt;&gt;0,Configuración!$G$2,0)</f>
        <v>#REF!</v>
      </c>
      <c r="W270" t="e">
        <f t="shared" si="45"/>
        <v>#REF!</v>
      </c>
      <c r="X270" t="e">
        <f t="shared" si="46"/>
        <v>#REF!</v>
      </c>
      <c r="Z270" t="e">
        <f t="shared" si="47"/>
        <v>#REF!</v>
      </c>
      <c r="AB270" t="e">
        <f t="shared" si="48"/>
        <v>#REF!</v>
      </c>
      <c r="AG270" t="e">
        <f t="shared" si="49"/>
        <v>#REF!</v>
      </c>
      <c r="AH270" s="5" t="e">
        <f t="shared" si="50"/>
        <v>#REF!</v>
      </c>
      <c r="AI270" t="e">
        <f t="shared" si="51"/>
        <v>#REF!</v>
      </c>
    </row>
    <row r="271" spans="1:35" x14ac:dyDescent="0.55000000000000004">
      <c r="C271" t="s">
        <v>35</v>
      </c>
      <c r="D271" t="e">
        <f>IF(COUNTIF(#REF!,"&lt;&gt;NAN")=0, 0, IF(AND(OR(#REF!=#REF!,#REF!="NAN"), OR(#REF!=#REF!,#REF!="NAN"), OR(#REF!=#REF!,#REF!="NAN")),#REF!, 0))</f>
        <v>#REF!</v>
      </c>
      <c r="E271" t="e">
        <f>IF(#REF!="NAN","",IF(
   AND(OR(#REF!=#REF!,#REF!="NAN"),
     OR(#REF!=#REF!,#REF!="NAN"),
     OR(#REF!=#REF!,#REF!="NAN")),
   1,
   0))</f>
        <v>#REF!</v>
      </c>
      <c r="F271" t="s">
        <v>51</v>
      </c>
      <c r="G271" t="e">
        <f>IF(OR(#REF!="UP",#REF!="DOWN"),1,0)</f>
        <v>#REF!</v>
      </c>
      <c r="H271" t="e">
        <f>IF(OR(#REF!="UP",#REF!="DOWN"),1,0)</f>
        <v>#REF!</v>
      </c>
      <c r="I271" t="e">
        <f>IF(OR(#REF!="UP",#REF!="DOWN"),1,0)</f>
        <v>#REF!</v>
      </c>
      <c r="M271" t="e">
        <f>IF(OR(#REF!="UP",#REF!="DOWN"),0,1)</f>
        <v>#REF!</v>
      </c>
      <c r="N271" t="e">
        <f>IF(OR(#REF!="UP",#REF!="DOWN"),VLOOKUP($C271,Configuración!$H$2:$K$11,3),1)</f>
        <v>#REF!</v>
      </c>
      <c r="O271" t="e">
        <f>IF(OR(#REF!="UP",#REF!="DOWN"),VLOOKUP($C271,Configuración!$H$2:$K$11,4),1)</f>
        <v>#REF!</v>
      </c>
      <c r="P271" t="e">
        <f t="shared" si="43"/>
        <v>#REF!</v>
      </c>
      <c r="Q271" t="e">
        <f t="shared" si="44"/>
        <v>#REF!</v>
      </c>
      <c r="R271" t="e">
        <f t="shared" si="42"/>
        <v>#REF!</v>
      </c>
      <c r="T271" t="e">
        <f>IF(R271&lt;&gt;0,Configuración!$E$2,0)</f>
        <v>#REF!</v>
      </c>
      <c r="U271" t="e">
        <f>IF(R271&lt;&gt;0,Configuración!$F$2,0)</f>
        <v>#REF!</v>
      </c>
      <c r="V271" t="e">
        <f>IF(R271&lt;&gt;0,Configuración!$G$2,0)</f>
        <v>#REF!</v>
      </c>
      <c r="W271" t="e">
        <f t="shared" si="45"/>
        <v>#REF!</v>
      </c>
      <c r="X271" t="e">
        <f t="shared" si="46"/>
        <v>#REF!</v>
      </c>
      <c r="Z271" t="e">
        <f t="shared" si="47"/>
        <v>#REF!</v>
      </c>
      <c r="AB271" t="e">
        <f t="shared" si="48"/>
        <v>#REF!</v>
      </c>
      <c r="AG271" t="e">
        <f t="shared" si="49"/>
        <v>#REF!</v>
      </c>
      <c r="AH271" s="5" t="e">
        <f t="shared" si="50"/>
        <v>#REF!</v>
      </c>
      <c r="AI271" t="e">
        <f t="shared" si="51"/>
        <v>#REF!</v>
      </c>
    </row>
    <row r="272" spans="1:35" x14ac:dyDescent="0.55000000000000004">
      <c r="C272" t="s">
        <v>34</v>
      </c>
      <c r="D272" t="e">
        <f>IF(COUNTIF(#REF!,"&lt;&gt;NAN")=0, 0, IF(AND(OR(#REF!=#REF!,#REF!="NAN"), OR(#REF!=#REF!,#REF!="NAN"), OR(#REF!=#REF!,#REF!="NAN")),#REF!, 0))</f>
        <v>#REF!</v>
      </c>
      <c r="E272" t="e">
        <f>IF(#REF!="NAN","",IF(
   AND(OR(#REF!=#REF!,#REF!="NAN"),
     OR(#REF!=#REF!,#REF!="NAN"),
     OR(#REF!=#REF!,#REF!="NAN")),
   1,
   0))</f>
        <v>#REF!</v>
      </c>
      <c r="F272" t="s">
        <v>51</v>
      </c>
      <c r="G272" t="e">
        <f>IF(OR(#REF!="UP",#REF!="DOWN"),1,0)</f>
        <v>#REF!</v>
      </c>
      <c r="H272" t="e">
        <f>IF(OR(#REF!="UP",#REF!="DOWN"),1,0)</f>
        <v>#REF!</v>
      </c>
      <c r="I272" t="e">
        <f>IF(OR(#REF!="UP",#REF!="DOWN"),1,0)</f>
        <v>#REF!</v>
      </c>
      <c r="M272" t="e">
        <f>IF(OR(#REF!="UP",#REF!="DOWN"),0,1)</f>
        <v>#REF!</v>
      </c>
      <c r="N272" t="e">
        <f>IF(OR(#REF!="UP",#REF!="DOWN"),VLOOKUP($C272,Configuración!$H$2:$K$11,3),1)</f>
        <v>#REF!</v>
      </c>
      <c r="O272" t="e">
        <f>IF(OR(#REF!="UP",#REF!="DOWN"),VLOOKUP($C272,Configuración!$H$2:$K$11,4),1)</f>
        <v>#REF!</v>
      </c>
      <c r="P272" t="e">
        <f t="shared" si="43"/>
        <v>#REF!</v>
      </c>
      <c r="Q272" t="e">
        <f t="shared" si="44"/>
        <v>#REF!</v>
      </c>
      <c r="R272" t="e">
        <f t="shared" si="42"/>
        <v>#REF!</v>
      </c>
      <c r="T272" t="e">
        <f>IF(R272&lt;&gt;0,Configuración!$E$2,0)</f>
        <v>#REF!</v>
      </c>
      <c r="U272" t="e">
        <f>IF(R272&lt;&gt;0,Configuración!$F$2,0)</f>
        <v>#REF!</v>
      </c>
      <c r="V272" t="e">
        <f>IF(R272&lt;&gt;0,Configuración!$G$2,0)</f>
        <v>#REF!</v>
      </c>
      <c r="W272" t="e">
        <f t="shared" si="45"/>
        <v>#REF!</v>
      </c>
      <c r="X272" t="e">
        <f t="shared" si="46"/>
        <v>#REF!</v>
      </c>
      <c r="Z272" t="e">
        <f t="shared" si="47"/>
        <v>#REF!</v>
      </c>
      <c r="AB272" t="e">
        <f t="shared" si="48"/>
        <v>#REF!</v>
      </c>
      <c r="AG272" t="e">
        <f t="shared" si="49"/>
        <v>#REF!</v>
      </c>
      <c r="AH272" s="5" t="e">
        <f t="shared" si="50"/>
        <v>#REF!</v>
      </c>
      <c r="AI272" t="e">
        <f t="shared" si="51"/>
        <v>#REF!</v>
      </c>
    </row>
    <row r="273" spans="1:35" x14ac:dyDescent="0.55000000000000004">
      <c r="C273" t="s">
        <v>27</v>
      </c>
      <c r="D273" t="e">
        <f>IF(COUNTIF(#REF!,"&lt;&gt;NAN")=0, 0, IF(AND(OR(#REF!=#REF!,#REF!="NAN"), OR(#REF!=#REF!,#REF!="NAN"), OR(#REF!=#REF!,#REF!="NAN")),#REF!, 0))</f>
        <v>#REF!</v>
      </c>
      <c r="E273" t="e">
        <f>IF(#REF!="NAN","",IF(
   AND(OR(#REF!=#REF!,#REF!="NAN"),
     OR(#REF!=#REF!,#REF!="NAN"),
     OR(#REF!=#REF!,#REF!="NAN")),
   1,
   0))</f>
        <v>#REF!</v>
      </c>
      <c r="F273" t="s">
        <v>51</v>
      </c>
      <c r="G273" t="e">
        <f>IF(OR(#REF!="UP",#REF!="DOWN"),1,0)</f>
        <v>#REF!</v>
      </c>
      <c r="H273" t="e">
        <f>IF(OR(#REF!="UP",#REF!="DOWN"),1,0)</f>
        <v>#REF!</v>
      </c>
      <c r="I273" t="e">
        <f>IF(OR(#REF!="UP",#REF!="DOWN"),1,0)</f>
        <v>#REF!</v>
      </c>
      <c r="M273" t="e">
        <f>IF(OR(#REF!="UP",#REF!="DOWN"),0,1)</f>
        <v>#REF!</v>
      </c>
      <c r="N273" t="e">
        <f>IF(OR(#REF!="UP",#REF!="DOWN"),VLOOKUP($C273,Configuración!$H$2:$K$11,3),1)</f>
        <v>#REF!</v>
      </c>
      <c r="O273" t="e">
        <f>IF(OR(#REF!="UP",#REF!="DOWN"),VLOOKUP($C273,Configuración!$H$2:$K$11,4),1)</f>
        <v>#REF!</v>
      </c>
      <c r="P273" t="e">
        <f t="shared" si="43"/>
        <v>#REF!</v>
      </c>
      <c r="Q273" t="e">
        <f t="shared" si="44"/>
        <v>#REF!</v>
      </c>
      <c r="R273" t="e">
        <f t="shared" si="42"/>
        <v>#REF!</v>
      </c>
      <c r="T273" t="e">
        <f>IF(R273&lt;&gt;0,Configuración!$E$2,0)</f>
        <v>#REF!</v>
      </c>
      <c r="U273" t="e">
        <f>IF(R273&lt;&gt;0,Configuración!$F$2,0)</f>
        <v>#REF!</v>
      </c>
      <c r="V273" t="e">
        <f>IF(R273&lt;&gt;0,Configuración!$G$2,0)</f>
        <v>#REF!</v>
      </c>
      <c r="W273" t="e">
        <f t="shared" si="45"/>
        <v>#REF!</v>
      </c>
      <c r="X273" t="e">
        <f t="shared" si="46"/>
        <v>#REF!</v>
      </c>
      <c r="Z273" t="e">
        <f t="shared" si="47"/>
        <v>#REF!</v>
      </c>
      <c r="AB273" t="e">
        <f t="shared" si="48"/>
        <v>#REF!</v>
      </c>
      <c r="AG273" t="e">
        <f t="shared" si="49"/>
        <v>#REF!</v>
      </c>
      <c r="AH273" s="5" t="e">
        <f t="shared" si="50"/>
        <v>#REF!</v>
      </c>
      <c r="AI273" t="e">
        <f t="shared" si="51"/>
        <v>#REF!</v>
      </c>
    </row>
    <row r="274" spans="1:35" x14ac:dyDescent="0.55000000000000004">
      <c r="C274" t="s">
        <v>28</v>
      </c>
      <c r="D274" t="e">
        <f>IF(COUNTIF(#REF!,"&lt;&gt;NAN")=0, 0, IF(AND(OR(#REF!=#REF!,#REF!="NAN"), OR(#REF!=#REF!,#REF!="NAN"), OR(#REF!=#REF!,#REF!="NAN")),#REF!, 0))</f>
        <v>#REF!</v>
      </c>
      <c r="E274" t="e">
        <f>IF(#REF!="NAN","",IF(
   AND(OR(#REF!=#REF!,#REF!="NAN"),
     OR(#REF!=#REF!,#REF!="NAN"),
     OR(#REF!=#REF!,#REF!="NAN")),
   1,
   0))</f>
        <v>#REF!</v>
      </c>
      <c r="F274" t="s">
        <v>51</v>
      </c>
      <c r="G274" t="e">
        <f>IF(OR(#REF!="UP",#REF!="DOWN"),1,0)</f>
        <v>#REF!</v>
      </c>
      <c r="H274" t="e">
        <f>IF(OR(#REF!="UP",#REF!="DOWN"),1,0)</f>
        <v>#REF!</v>
      </c>
      <c r="I274" t="e">
        <f>IF(OR(#REF!="UP",#REF!="DOWN"),1,0)</f>
        <v>#REF!</v>
      </c>
      <c r="M274" t="e">
        <f>IF(OR(#REF!="UP",#REF!="DOWN"),0,1)</f>
        <v>#REF!</v>
      </c>
      <c r="N274" t="e">
        <f>IF(OR(#REF!="UP",#REF!="DOWN"),VLOOKUP($C274,Configuración!$H$2:$K$11,3),1)</f>
        <v>#REF!</v>
      </c>
      <c r="O274" t="e">
        <f>IF(OR(#REF!="UP",#REF!="DOWN"),VLOOKUP($C274,Configuración!$H$2:$K$11,4),1)</f>
        <v>#REF!</v>
      </c>
      <c r="P274" t="e">
        <f t="shared" si="43"/>
        <v>#REF!</v>
      </c>
      <c r="Q274" t="e">
        <f t="shared" si="44"/>
        <v>#REF!</v>
      </c>
      <c r="R274" t="e">
        <f t="shared" si="42"/>
        <v>#REF!</v>
      </c>
      <c r="T274" t="e">
        <f>IF(R274&lt;&gt;0,Configuración!$E$2,0)</f>
        <v>#REF!</v>
      </c>
      <c r="U274" t="e">
        <f>IF(R274&lt;&gt;0,Configuración!$F$2,0)</f>
        <v>#REF!</v>
      </c>
      <c r="V274" t="e">
        <f>IF(R274&lt;&gt;0,Configuración!$G$2,0)</f>
        <v>#REF!</v>
      </c>
      <c r="W274" t="e">
        <f t="shared" si="45"/>
        <v>#REF!</v>
      </c>
      <c r="X274" t="e">
        <f t="shared" si="46"/>
        <v>#REF!</v>
      </c>
      <c r="Z274" t="e">
        <f t="shared" si="47"/>
        <v>#REF!</v>
      </c>
      <c r="AB274" t="e">
        <f t="shared" si="48"/>
        <v>#REF!</v>
      </c>
      <c r="AG274" t="e">
        <f t="shared" si="49"/>
        <v>#REF!</v>
      </c>
      <c r="AH274" s="5" t="e">
        <f t="shared" si="50"/>
        <v>#REF!</v>
      </c>
      <c r="AI274" t="e">
        <f t="shared" si="51"/>
        <v>#REF!</v>
      </c>
    </row>
    <row r="275" spans="1:35" x14ac:dyDescent="0.55000000000000004">
      <c r="C275" t="s">
        <v>30</v>
      </c>
      <c r="D275" t="e">
        <f>IF(COUNTIF(#REF!,"&lt;&gt;NAN")=0, 0, IF(AND(OR(#REF!=#REF!,#REF!="NAN"), OR(#REF!=#REF!,#REF!="NAN"), OR(#REF!=#REF!,#REF!="NAN")),#REF!, 0))</f>
        <v>#REF!</v>
      </c>
      <c r="E275" t="e">
        <f>IF(#REF!="NAN","",IF(
   AND(OR(#REF!=#REF!,#REF!="NAN"),
     OR(#REF!=#REF!,#REF!="NAN"),
     OR(#REF!=#REF!,#REF!="NAN")),
   1,
   0))</f>
        <v>#REF!</v>
      </c>
      <c r="F275" t="s">
        <v>51</v>
      </c>
      <c r="G275" t="e">
        <f>IF(OR(#REF!="UP",#REF!="DOWN"),1,0)</f>
        <v>#REF!</v>
      </c>
      <c r="H275" t="e">
        <f>IF(OR(#REF!="UP",#REF!="DOWN"),1,0)</f>
        <v>#REF!</v>
      </c>
      <c r="I275" t="e">
        <f>IF(OR(#REF!="UP",#REF!="DOWN"),1,0)</f>
        <v>#REF!</v>
      </c>
      <c r="M275" t="e">
        <f>IF(OR(#REF!="UP",#REF!="DOWN"),0,1)</f>
        <v>#REF!</v>
      </c>
      <c r="N275" t="e">
        <f>IF(OR(#REF!="UP",#REF!="DOWN"),VLOOKUP($C275,Configuración!$H$2:$K$11,3),1)</f>
        <v>#REF!</v>
      </c>
      <c r="O275" t="e">
        <f>IF(OR(#REF!="UP",#REF!="DOWN"),VLOOKUP($C275,Configuración!$H$2:$K$11,4),1)</f>
        <v>#REF!</v>
      </c>
      <c r="P275" t="e">
        <f t="shared" si="43"/>
        <v>#REF!</v>
      </c>
      <c r="Q275" t="e">
        <f t="shared" si="44"/>
        <v>#REF!</v>
      </c>
      <c r="R275" t="e">
        <f t="shared" si="42"/>
        <v>#REF!</v>
      </c>
      <c r="T275" t="e">
        <f>IF(R275&lt;&gt;0,Configuración!$E$2,0)</f>
        <v>#REF!</v>
      </c>
      <c r="U275" t="e">
        <f>IF(R275&lt;&gt;0,Configuración!$F$2,0)</f>
        <v>#REF!</v>
      </c>
      <c r="V275" t="e">
        <f>IF(R275&lt;&gt;0,Configuración!$G$2,0)</f>
        <v>#REF!</v>
      </c>
      <c r="W275" t="e">
        <f t="shared" si="45"/>
        <v>#REF!</v>
      </c>
      <c r="X275" t="e">
        <f t="shared" si="46"/>
        <v>#REF!</v>
      </c>
      <c r="Z275" t="e">
        <f t="shared" si="47"/>
        <v>#REF!</v>
      </c>
      <c r="AB275" t="e">
        <f t="shared" si="48"/>
        <v>#REF!</v>
      </c>
      <c r="AG275" t="e">
        <f t="shared" si="49"/>
        <v>#REF!</v>
      </c>
      <c r="AH275" s="5" t="e">
        <f t="shared" si="50"/>
        <v>#REF!</v>
      </c>
      <c r="AI275" t="e">
        <f t="shared" si="51"/>
        <v>#REF!</v>
      </c>
    </row>
    <row r="276" spans="1:35" x14ac:dyDescent="0.55000000000000004">
      <c r="C276" t="s">
        <v>29</v>
      </c>
      <c r="D276" t="e">
        <f>IF(COUNTIF(#REF!,"&lt;&gt;NAN")=0, 0, IF(AND(OR(#REF!=#REF!,#REF!="NAN"), OR(#REF!=#REF!,#REF!="NAN"), OR(#REF!=#REF!,#REF!="NAN")),#REF!, 0))</f>
        <v>#REF!</v>
      </c>
      <c r="E276" t="e">
        <f>IF(#REF!="NAN","",IF(
   AND(OR(#REF!=#REF!,#REF!="NAN"),
     OR(#REF!=#REF!,#REF!="NAN"),
     OR(#REF!=#REF!,#REF!="NAN")),
   1,
   0))</f>
        <v>#REF!</v>
      </c>
      <c r="F276" t="s">
        <v>51</v>
      </c>
      <c r="G276" t="e">
        <f>IF(OR(#REF!="UP",#REF!="DOWN"),1,0)</f>
        <v>#REF!</v>
      </c>
      <c r="H276" t="e">
        <f>IF(OR(#REF!="UP",#REF!="DOWN"),1,0)</f>
        <v>#REF!</v>
      </c>
      <c r="I276" t="e">
        <f>IF(OR(#REF!="UP",#REF!="DOWN"),1,0)</f>
        <v>#REF!</v>
      </c>
      <c r="M276" t="e">
        <f>IF(OR(#REF!="UP",#REF!="DOWN"),0,1)</f>
        <v>#REF!</v>
      </c>
      <c r="N276" t="e">
        <f>IF(OR(#REF!="UP",#REF!="DOWN"),VLOOKUP($C276,Configuración!$H$2:$K$11,3),1)</f>
        <v>#REF!</v>
      </c>
      <c r="O276" t="e">
        <f>IF(OR(#REF!="UP",#REF!="DOWN"),VLOOKUP($C276,Configuración!$H$2:$K$11,4),1)</f>
        <v>#REF!</v>
      </c>
      <c r="P276" t="e">
        <f t="shared" si="43"/>
        <v>#REF!</v>
      </c>
      <c r="Q276" t="e">
        <f t="shared" si="44"/>
        <v>#REF!</v>
      </c>
      <c r="R276" t="e">
        <f t="shared" si="42"/>
        <v>#REF!</v>
      </c>
      <c r="T276" t="e">
        <f>IF(R276&lt;&gt;0,Configuración!$E$2,0)</f>
        <v>#REF!</v>
      </c>
      <c r="U276" t="e">
        <f>IF(R276&lt;&gt;0,Configuración!$F$2,0)</f>
        <v>#REF!</v>
      </c>
      <c r="V276" t="e">
        <f>IF(R276&lt;&gt;0,Configuración!$G$2,0)</f>
        <v>#REF!</v>
      </c>
      <c r="W276" t="e">
        <f t="shared" si="45"/>
        <v>#REF!</v>
      </c>
      <c r="X276" t="e">
        <f t="shared" si="46"/>
        <v>#REF!</v>
      </c>
      <c r="Z276" t="e">
        <f t="shared" si="47"/>
        <v>#REF!</v>
      </c>
      <c r="AB276" t="e">
        <f t="shared" si="48"/>
        <v>#REF!</v>
      </c>
      <c r="AG276" t="e">
        <f t="shared" si="49"/>
        <v>#REF!</v>
      </c>
      <c r="AH276" s="5" t="e">
        <f t="shared" si="50"/>
        <v>#REF!</v>
      </c>
      <c r="AI276" t="e">
        <f t="shared" si="51"/>
        <v>#REF!</v>
      </c>
    </row>
    <row r="277" spans="1:35" x14ac:dyDescent="0.55000000000000004">
      <c r="C277" t="s">
        <v>31</v>
      </c>
      <c r="D277" t="e">
        <f>IF(COUNTIF(#REF!,"&lt;&gt;NAN")=0, 0, IF(AND(OR(#REF!=#REF!,#REF!="NAN"), OR(#REF!=#REF!,#REF!="NAN"), OR(#REF!=#REF!,#REF!="NAN")),#REF!, 0))</f>
        <v>#REF!</v>
      </c>
      <c r="E277" t="e">
        <f>IF(#REF!="NAN","",IF(
   AND(OR(#REF!=#REF!,#REF!="NAN"),
     OR(#REF!=#REF!,#REF!="NAN"),
     OR(#REF!=#REF!,#REF!="NAN")),
   1,
   0))</f>
        <v>#REF!</v>
      </c>
      <c r="F277" t="s">
        <v>37</v>
      </c>
      <c r="G277" t="e">
        <f>IF(OR(#REF!="UP",#REF!="DOWN"),1,0)</f>
        <v>#REF!</v>
      </c>
      <c r="H277" t="e">
        <f>IF(OR(#REF!="UP",#REF!="DOWN"),1,0)</f>
        <v>#REF!</v>
      </c>
      <c r="I277" t="e">
        <f>IF(OR(#REF!="UP",#REF!="DOWN"),1,0)</f>
        <v>#REF!</v>
      </c>
      <c r="M277" t="e">
        <f>IF(OR(#REF!="UP",#REF!="DOWN"),0,1)</f>
        <v>#REF!</v>
      </c>
      <c r="N277" t="e">
        <f>IF(OR(#REF!="UP",#REF!="DOWN"),VLOOKUP($C277,Configuración!$H$2:$K$11,3),1)</f>
        <v>#REF!</v>
      </c>
      <c r="O277" t="e">
        <f>IF(OR(#REF!="UP",#REF!="DOWN"),VLOOKUP($C277,Configuración!$H$2:$K$11,4),1)</f>
        <v>#REF!</v>
      </c>
      <c r="P277" t="e">
        <f t="shared" si="43"/>
        <v>#REF!</v>
      </c>
      <c r="Q277" t="e">
        <f t="shared" si="44"/>
        <v>#REF!</v>
      </c>
      <c r="R277" t="e">
        <f t="shared" si="42"/>
        <v>#REF!</v>
      </c>
      <c r="T277" t="e">
        <f>IF(R277&lt;&gt;0,Configuración!$E$2,0)</f>
        <v>#REF!</v>
      </c>
      <c r="U277" t="e">
        <f>IF(R277&lt;&gt;0,Configuración!$F$2,0)</f>
        <v>#REF!</v>
      </c>
      <c r="V277" t="e">
        <f>IF(R277&lt;&gt;0,Configuración!$G$2,0)</f>
        <v>#REF!</v>
      </c>
      <c r="W277" t="e">
        <f t="shared" si="45"/>
        <v>#REF!</v>
      </c>
      <c r="X277" t="e">
        <f t="shared" si="46"/>
        <v>#REF!</v>
      </c>
      <c r="Z277" t="e">
        <f t="shared" si="47"/>
        <v>#REF!</v>
      </c>
      <c r="AB277" t="e">
        <f t="shared" si="48"/>
        <v>#REF!</v>
      </c>
      <c r="AG277" t="e">
        <f t="shared" si="49"/>
        <v>#REF!</v>
      </c>
      <c r="AH277" s="5" t="e">
        <f t="shared" si="50"/>
        <v>#REF!</v>
      </c>
      <c r="AI277" t="e">
        <f t="shared" si="51"/>
        <v>#REF!</v>
      </c>
    </row>
    <row r="278" spans="1:35" x14ac:dyDescent="0.55000000000000004">
      <c r="A278">
        <v>3112025</v>
      </c>
      <c r="C278" t="s">
        <v>32</v>
      </c>
      <c r="D278" t="e">
        <f>IF(COUNTIF(#REF!,"&lt;&gt;NAN")=0, 0, IF(AND(OR(#REF!=#REF!,#REF!="NAN"), OR(#REF!=#REF!,#REF!="NAN"), OR(#REF!=#REF!,#REF!="NAN")),#REF!, 0))</f>
        <v>#REF!</v>
      </c>
      <c r="E278" t="e">
        <f>IF(#REF!="NAN","",IF(
   AND(OR(#REF!=#REF!,#REF!="NAN"),
     OR(#REF!=#REF!,#REF!="NAN"),
     OR(#REF!=#REF!,#REF!="NAN")),
   1,
   0))</f>
        <v>#REF!</v>
      </c>
      <c r="F278" t="s">
        <v>38</v>
      </c>
      <c r="G278" t="e">
        <f>IF(OR(#REF!="UP",#REF!="DOWN"),1,0)</f>
        <v>#REF!</v>
      </c>
      <c r="H278" t="e">
        <f>IF(OR(#REF!="UP",#REF!="DOWN"),1,0)</f>
        <v>#REF!</v>
      </c>
      <c r="I278" t="e">
        <f>IF(OR(#REF!="UP",#REF!="DOWN"),1,0)</f>
        <v>#REF!</v>
      </c>
      <c r="M278" t="e">
        <f>IF(OR(#REF!="UP",#REF!="DOWN"),0,1)</f>
        <v>#REF!</v>
      </c>
      <c r="N278" t="e">
        <f>IF(OR(#REF!="UP",#REF!="DOWN"),VLOOKUP($C278,Configuración!$H$2:$K$11,3),1)</f>
        <v>#REF!</v>
      </c>
      <c r="O278" t="e">
        <f>IF(OR(#REF!="UP",#REF!="DOWN"),VLOOKUP($C278,Configuración!$H$2:$K$11,4),1)</f>
        <v>#REF!</v>
      </c>
      <c r="P278" t="e">
        <f t="shared" si="43"/>
        <v>#REF!</v>
      </c>
      <c r="Q278" t="e">
        <f t="shared" si="44"/>
        <v>#REF!</v>
      </c>
      <c r="R278" t="e">
        <f t="shared" si="42"/>
        <v>#REF!</v>
      </c>
      <c r="T278" t="e">
        <f>IF(R278&lt;&gt;0,Configuración!$E$2,0)</f>
        <v>#REF!</v>
      </c>
      <c r="U278" t="e">
        <f>IF(R278&lt;&gt;0,Configuración!$F$2,0)</f>
        <v>#REF!</v>
      </c>
      <c r="V278" t="e">
        <f>IF(R278&lt;&gt;0,Configuración!$G$2,0)</f>
        <v>#REF!</v>
      </c>
      <c r="W278" t="e">
        <f t="shared" si="45"/>
        <v>#REF!</v>
      </c>
      <c r="X278" t="e">
        <f t="shared" si="46"/>
        <v>#REF!</v>
      </c>
      <c r="Z278" t="e">
        <f t="shared" si="47"/>
        <v>#REF!</v>
      </c>
      <c r="AB278" t="e">
        <f t="shared" si="48"/>
        <v>#REF!</v>
      </c>
      <c r="AG278" t="e">
        <f t="shared" si="49"/>
        <v>#REF!</v>
      </c>
      <c r="AH278" s="5" t="e">
        <f t="shared" si="50"/>
        <v>#REF!</v>
      </c>
      <c r="AI278" t="e">
        <f t="shared" si="51"/>
        <v>#REF!</v>
      </c>
    </row>
    <row r="279" spans="1:35" x14ac:dyDescent="0.55000000000000004">
      <c r="C279" t="s">
        <v>26</v>
      </c>
      <c r="D279" t="e">
        <f>IF(COUNTIF(#REF!,"&lt;&gt;NAN")=0, 0, IF(AND(OR(#REF!=#REF!,#REF!="NAN"), OR(#REF!=#REF!,#REF!="NAN"), OR(#REF!=#REF!,#REF!="NAN")),#REF!, 0))</f>
        <v>#REF!</v>
      </c>
      <c r="E279" t="e">
        <f>IF(#REF!="NAN","",IF(
   AND(OR(#REF!=#REF!,#REF!="NAN"),
     OR(#REF!=#REF!,#REF!="NAN"),
     OR(#REF!=#REF!,#REF!="NAN")),
   1,
   0))</f>
        <v>#REF!</v>
      </c>
      <c r="F279" t="s">
        <v>38</v>
      </c>
      <c r="G279" t="e">
        <f>IF(OR(#REF!="UP",#REF!="DOWN"),1,0)</f>
        <v>#REF!</v>
      </c>
      <c r="H279" t="e">
        <f>IF(OR(#REF!="UP",#REF!="DOWN"),1,0)</f>
        <v>#REF!</v>
      </c>
      <c r="I279" t="e">
        <f>IF(OR(#REF!="UP",#REF!="DOWN"),1,0)</f>
        <v>#REF!</v>
      </c>
      <c r="M279" t="e">
        <f>IF(OR(#REF!="UP",#REF!="DOWN"),0,1)</f>
        <v>#REF!</v>
      </c>
      <c r="N279" t="e">
        <f>IF(OR(#REF!="UP",#REF!="DOWN"),VLOOKUP($C279,Configuración!$H$2:$K$11,3),1)</f>
        <v>#REF!</v>
      </c>
      <c r="O279" t="e">
        <f>IF(OR(#REF!="UP",#REF!="DOWN"),VLOOKUP($C279,Configuración!$H$2:$K$11,4),1)</f>
        <v>#REF!</v>
      </c>
      <c r="P279" t="e">
        <f t="shared" si="43"/>
        <v>#REF!</v>
      </c>
      <c r="Q279" t="e">
        <f t="shared" si="44"/>
        <v>#REF!</v>
      </c>
      <c r="R279" t="e">
        <f t="shared" si="42"/>
        <v>#REF!</v>
      </c>
      <c r="T279" t="e">
        <f>IF(R279&lt;&gt;0,Configuración!$E$2,0)</f>
        <v>#REF!</v>
      </c>
      <c r="U279" t="e">
        <f>IF(R279&lt;&gt;0,Configuración!$F$2,0)</f>
        <v>#REF!</v>
      </c>
      <c r="V279" t="e">
        <f>IF(R279&lt;&gt;0,Configuración!$G$2,0)</f>
        <v>#REF!</v>
      </c>
      <c r="W279" t="e">
        <f t="shared" si="45"/>
        <v>#REF!</v>
      </c>
      <c r="X279" t="e">
        <f t="shared" si="46"/>
        <v>#REF!</v>
      </c>
      <c r="Z279" t="e">
        <f t="shared" si="47"/>
        <v>#REF!</v>
      </c>
      <c r="AB279" t="e">
        <f t="shared" si="48"/>
        <v>#REF!</v>
      </c>
      <c r="AG279" t="e">
        <f t="shared" si="49"/>
        <v>#REF!</v>
      </c>
      <c r="AH279" s="5" t="e">
        <f t="shared" si="50"/>
        <v>#REF!</v>
      </c>
      <c r="AI279" t="e">
        <f t="shared" si="51"/>
        <v>#REF!</v>
      </c>
    </row>
    <row r="280" spans="1:35" x14ac:dyDescent="0.55000000000000004">
      <c r="C280" t="s">
        <v>35</v>
      </c>
      <c r="D280" t="e">
        <f>IF(COUNTIF(#REF!,"&lt;&gt;NAN")=0, 0, IF(AND(OR(#REF!=#REF!,#REF!="NAN"), OR(#REF!=#REF!,#REF!="NAN"), OR(#REF!=#REF!,#REF!="NAN")),#REF!, 0))</f>
        <v>#REF!</v>
      </c>
      <c r="E280" t="e">
        <f>IF(#REF!="NAN","",IF(
   AND(OR(#REF!=#REF!,#REF!="NAN"),
     OR(#REF!=#REF!,#REF!="NAN"),
     OR(#REF!=#REF!,#REF!="NAN")),
   1,
   0))</f>
        <v>#REF!</v>
      </c>
      <c r="F280" t="s">
        <v>37</v>
      </c>
      <c r="G280" t="e">
        <f>IF(OR(#REF!="UP",#REF!="DOWN"),1,0)</f>
        <v>#REF!</v>
      </c>
      <c r="H280" t="e">
        <f>IF(OR(#REF!="UP",#REF!="DOWN"),1,0)</f>
        <v>#REF!</v>
      </c>
      <c r="I280" t="e">
        <f>IF(OR(#REF!="UP",#REF!="DOWN"),1,0)</f>
        <v>#REF!</v>
      </c>
      <c r="M280" t="e">
        <f>IF(OR(#REF!="UP",#REF!="DOWN"),0,1)</f>
        <v>#REF!</v>
      </c>
      <c r="N280" t="e">
        <f>IF(OR(#REF!="UP",#REF!="DOWN"),VLOOKUP($C280,Configuración!$H$2:$K$11,3),1)</f>
        <v>#REF!</v>
      </c>
      <c r="O280" t="e">
        <f>IF(OR(#REF!="UP",#REF!="DOWN"),VLOOKUP($C280,Configuración!$H$2:$K$11,4),1)</f>
        <v>#REF!</v>
      </c>
      <c r="P280" t="e">
        <f t="shared" si="43"/>
        <v>#REF!</v>
      </c>
      <c r="Q280" t="e">
        <f t="shared" si="44"/>
        <v>#REF!</v>
      </c>
      <c r="R280" t="e">
        <f t="shared" si="42"/>
        <v>#REF!</v>
      </c>
      <c r="T280" t="e">
        <f>IF(R280&lt;&gt;0,Configuración!$E$2,0)</f>
        <v>#REF!</v>
      </c>
      <c r="U280" t="e">
        <f>IF(R280&lt;&gt;0,Configuración!$F$2,0)</f>
        <v>#REF!</v>
      </c>
      <c r="V280" t="e">
        <f>IF(R280&lt;&gt;0,Configuración!$G$2,0)</f>
        <v>#REF!</v>
      </c>
      <c r="W280" t="e">
        <f t="shared" si="45"/>
        <v>#REF!</v>
      </c>
      <c r="X280" t="e">
        <f t="shared" si="46"/>
        <v>#REF!</v>
      </c>
      <c r="Z280" t="e">
        <f t="shared" si="47"/>
        <v>#REF!</v>
      </c>
      <c r="AB280" t="e">
        <f t="shared" si="48"/>
        <v>#REF!</v>
      </c>
      <c r="AG280" t="e">
        <f t="shared" si="49"/>
        <v>#REF!</v>
      </c>
      <c r="AH280" s="5" t="e">
        <f t="shared" si="50"/>
        <v>#REF!</v>
      </c>
      <c r="AI280" t="e">
        <f t="shared" si="51"/>
        <v>#REF!</v>
      </c>
    </row>
    <row r="281" spans="1:35" x14ac:dyDescent="0.55000000000000004">
      <c r="A281">
        <v>4112025</v>
      </c>
      <c r="C281" t="s">
        <v>32</v>
      </c>
      <c r="D281" t="e">
        <f>IF(COUNTIF(#REF!,"&lt;&gt;NAN")=0, 0, IF(AND(OR(#REF!=#REF!,#REF!="NAN"), OR(#REF!=#REF!,#REF!="NAN"), OR(#REF!=#REF!,#REF!="NAN")),#REF!, 0))</f>
        <v>#REF!</v>
      </c>
      <c r="E281" t="e">
        <f>IF(#REF!="NAN","",IF(
   AND(OR(#REF!=#REF!,#REF!="NAN"),
     OR(#REF!=#REF!,#REF!="NAN"),
     OR(#REF!=#REF!,#REF!="NAN")),
   1,
   0))</f>
        <v>#REF!</v>
      </c>
      <c r="F281" t="s">
        <v>38</v>
      </c>
      <c r="G281" t="e">
        <f>IF(OR(#REF!="UP",#REF!="DOWN"),1,0)</f>
        <v>#REF!</v>
      </c>
      <c r="H281" t="e">
        <f>IF(OR(#REF!="UP",#REF!="DOWN"),1,0)</f>
        <v>#REF!</v>
      </c>
      <c r="I281" t="e">
        <f>IF(OR(#REF!="UP",#REF!="DOWN"),1,0)</f>
        <v>#REF!</v>
      </c>
      <c r="M281" t="e">
        <f>IF(OR(#REF!="UP",#REF!="DOWN"),0,1)</f>
        <v>#REF!</v>
      </c>
      <c r="N281" t="e">
        <f>IF(OR(#REF!="UP",#REF!="DOWN"),VLOOKUP($C281,Configuración!$H$2:$K$11,3),1)</f>
        <v>#REF!</v>
      </c>
      <c r="O281" t="e">
        <f>IF(OR(#REF!="UP",#REF!="DOWN"),VLOOKUP($C281,Configuración!$H$2:$K$11,4),1)</f>
        <v>#REF!</v>
      </c>
      <c r="P281" t="e">
        <f t="shared" si="43"/>
        <v>#REF!</v>
      </c>
      <c r="Q281" t="e">
        <f t="shared" si="44"/>
        <v>#REF!</v>
      </c>
      <c r="R281" t="e">
        <f t="shared" si="42"/>
        <v>#REF!</v>
      </c>
      <c r="T281" t="e">
        <f>IF(R281&lt;&gt;0,Configuración!$E$2,0)</f>
        <v>#REF!</v>
      </c>
      <c r="U281" t="e">
        <f>IF(R281&lt;&gt;0,Configuración!$F$2,0)</f>
        <v>#REF!</v>
      </c>
      <c r="V281" t="e">
        <f>IF(R281&lt;&gt;0,Configuración!$G$2,0)</f>
        <v>#REF!</v>
      </c>
      <c r="W281" t="e">
        <f t="shared" si="45"/>
        <v>#REF!</v>
      </c>
      <c r="X281" t="e">
        <f t="shared" si="46"/>
        <v>#REF!</v>
      </c>
      <c r="Z281" t="e">
        <f t="shared" si="47"/>
        <v>#REF!</v>
      </c>
      <c r="AB281" t="e">
        <f t="shared" si="48"/>
        <v>#REF!</v>
      </c>
      <c r="AG281" t="e">
        <f t="shared" si="49"/>
        <v>#REF!</v>
      </c>
      <c r="AH281" s="5" t="e">
        <f t="shared" si="50"/>
        <v>#REF!</v>
      </c>
      <c r="AI281" t="e">
        <f t="shared" si="51"/>
        <v>#REF!</v>
      </c>
    </row>
    <row r="282" spans="1:35" x14ac:dyDescent="0.55000000000000004">
      <c r="C282" t="s">
        <v>26</v>
      </c>
      <c r="D282" t="e">
        <f>IF(COUNTIF(#REF!,"&lt;&gt;NAN")=0, 0, IF(AND(OR(#REF!=#REF!,#REF!="NAN"), OR(#REF!=#REF!,#REF!="NAN"), OR(#REF!=#REF!,#REF!="NAN")),#REF!, 0))</f>
        <v>#REF!</v>
      </c>
      <c r="E282" t="e">
        <f>IF(#REF!="NAN","",IF(
   AND(OR(#REF!=#REF!,#REF!="NAN"),
     OR(#REF!=#REF!,#REF!="NAN"),
     OR(#REF!=#REF!,#REF!="NAN")),
   1,
   0))</f>
        <v>#REF!</v>
      </c>
      <c r="F282" t="s">
        <v>51</v>
      </c>
      <c r="G282" t="e">
        <f>IF(OR(#REF!="UP",#REF!="DOWN"),1,0)</f>
        <v>#REF!</v>
      </c>
      <c r="H282" t="e">
        <f>IF(OR(#REF!="UP",#REF!="DOWN"),1,0)</f>
        <v>#REF!</v>
      </c>
      <c r="I282" t="e">
        <f>IF(OR(#REF!="UP",#REF!="DOWN"),1,0)</f>
        <v>#REF!</v>
      </c>
      <c r="M282" t="e">
        <f>IF(OR(#REF!="UP",#REF!="DOWN"),0,1)</f>
        <v>#REF!</v>
      </c>
      <c r="N282" t="e">
        <f>IF(OR(#REF!="UP",#REF!="DOWN"),VLOOKUP($C282,Configuración!$H$2:$K$11,3),1)</f>
        <v>#REF!</v>
      </c>
      <c r="O282" t="e">
        <f>IF(OR(#REF!="UP",#REF!="DOWN"),VLOOKUP($C282,Configuración!$H$2:$K$11,4),1)</f>
        <v>#REF!</v>
      </c>
      <c r="P282" t="e">
        <f t="shared" si="43"/>
        <v>#REF!</v>
      </c>
      <c r="Q282" t="e">
        <f t="shared" si="44"/>
        <v>#REF!</v>
      </c>
      <c r="R282" t="e">
        <f t="shared" si="42"/>
        <v>#REF!</v>
      </c>
      <c r="T282" t="e">
        <f>IF(R282&lt;&gt;0,Configuración!$E$2,0)</f>
        <v>#REF!</v>
      </c>
      <c r="U282" t="e">
        <f>IF(R282&lt;&gt;0,Configuración!$F$2,0)</f>
        <v>#REF!</v>
      </c>
      <c r="V282" t="e">
        <f>IF(R282&lt;&gt;0,Configuración!$G$2,0)</f>
        <v>#REF!</v>
      </c>
      <c r="W282" t="e">
        <f t="shared" si="45"/>
        <v>#REF!</v>
      </c>
      <c r="X282" t="e">
        <f t="shared" si="46"/>
        <v>#REF!</v>
      </c>
      <c r="Z282" t="e">
        <f t="shared" si="47"/>
        <v>#REF!</v>
      </c>
      <c r="AB282" t="e">
        <f t="shared" si="48"/>
        <v>#REF!</v>
      </c>
      <c r="AG282" t="e">
        <f t="shared" si="49"/>
        <v>#REF!</v>
      </c>
      <c r="AH282" s="5" t="e">
        <f t="shared" si="50"/>
        <v>#REF!</v>
      </c>
      <c r="AI282" t="e">
        <f t="shared" si="51"/>
        <v>#REF!</v>
      </c>
    </row>
    <row r="283" spans="1:35" x14ac:dyDescent="0.55000000000000004">
      <c r="C283" t="s">
        <v>33</v>
      </c>
      <c r="D283" t="e">
        <f>IF(COUNTIF(#REF!,"&lt;&gt;NAN")=0, 0, IF(AND(OR(#REF!=#REF!,#REF!="NAN"), OR(#REF!=#REF!,#REF!="NAN"), OR(#REF!=#REF!,#REF!="NAN")),#REF!, 0))</f>
        <v>#REF!</v>
      </c>
      <c r="E283" t="e">
        <f>IF(#REF!="NAN","",IF(
   AND(OR(#REF!=#REF!,#REF!="NAN"),
     OR(#REF!=#REF!,#REF!="NAN"),
     OR(#REF!=#REF!,#REF!="NAN")),
   1,
   0))</f>
        <v>#REF!</v>
      </c>
      <c r="F283" t="s">
        <v>51</v>
      </c>
      <c r="G283" t="e">
        <f>IF(OR(#REF!="UP",#REF!="DOWN"),1,0)</f>
        <v>#REF!</v>
      </c>
      <c r="H283" t="e">
        <f>IF(OR(#REF!="UP",#REF!="DOWN"),1,0)</f>
        <v>#REF!</v>
      </c>
      <c r="I283" t="e">
        <f>IF(OR(#REF!="UP",#REF!="DOWN"),1,0)</f>
        <v>#REF!</v>
      </c>
      <c r="M283" t="e">
        <f>IF(OR(#REF!="UP",#REF!="DOWN"),0,1)</f>
        <v>#REF!</v>
      </c>
      <c r="N283" t="e">
        <f>IF(OR(#REF!="UP",#REF!="DOWN"),VLOOKUP($C283,Configuración!$H$2:$K$11,3),1)</f>
        <v>#REF!</v>
      </c>
      <c r="O283" t="e">
        <f>IF(OR(#REF!="UP",#REF!="DOWN"),VLOOKUP($C283,Configuración!$H$2:$K$11,4),1)</f>
        <v>#REF!</v>
      </c>
      <c r="P283" t="e">
        <f t="shared" si="43"/>
        <v>#REF!</v>
      </c>
      <c r="Q283" t="e">
        <f t="shared" si="44"/>
        <v>#REF!</v>
      </c>
      <c r="R283" t="e">
        <f t="shared" si="42"/>
        <v>#REF!</v>
      </c>
      <c r="T283" t="e">
        <f>IF(R283&lt;&gt;0,Configuración!$E$2,0)</f>
        <v>#REF!</v>
      </c>
      <c r="U283" t="e">
        <f>IF(R283&lt;&gt;0,Configuración!$F$2,0)</f>
        <v>#REF!</v>
      </c>
      <c r="V283" t="e">
        <f>IF(R283&lt;&gt;0,Configuración!$G$2,0)</f>
        <v>#REF!</v>
      </c>
      <c r="W283" t="e">
        <f t="shared" si="45"/>
        <v>#REF!</v>
      </c>
      <c r="X283" t="e">
        <f t="shared" si="46"/>
        <v>#REF!</v>
      </c>
      <c r="Z283" t="e">
        <f t="shared" si="47"/>
        <v>#REF!</v>
      </c>
      <c r="AB283" t="e">
        <f t="shared" si="48"/>
        <v>#REF!</v>
      </c>
      <c r="AG283" t="e">
        <f t="shared" si="49"/>
        <v>#REF!</v>
      </c>
      <c r="AH283" s="5" t="e">
        <f t="shared" si="50"/>
        <v>#REF!</v>
      </c>
      <c r="AI283" t="e">
        <f t="shared" si="51"/>
        <v>#REF!</v>
      </c>
    </row>
    <row r="284" spans="1:35" x14ac:dyDescent="0.55000000000000004">
      <c r="C284" t="s">
        <v>35</v>
      </c>
      <c r="D284" t="e">
        <f>IF(COUNTIF(#REF!,"&lt;&gt;NAN")=0, 0, IF(AND(OR(#REF!=#REF!,#REF!="NAN"), OR(#REF!=#REF!,#REF!="NAN"), OR(#REF!=#REF!,#REF!="NAN")),#REF!, 0))</f>
        <v>#REF!</v>
      </c>
      <c r="E284" t="e">
        <f>IF(#REF!="NAN","",IF(
   AND(OR(#REF!=#REF!,#REF!="NAN"),
     OR(#REF!=#REF!,#REF!="NAN"),
     OR(#REF!=#REF!,#REF!="NAN")),
   1,
   0))</f>
        <v>#REF!</v>
      </c>
      <c r="F284" t="s">
        <v>51</v>
      </c>
      <c r="G284" t="e">
        <f>IF(OR(#REF!="UP",#REF!="DOWN"),1,0)</f>
        <v>#REF!</v>
      </c>
      <c r="H284" t="e">
        <f>IF(OR(#REF!="UP",#REF!="DOWN"),1,0)</f>
        <v>#REF!</v>
      </c>
      <c r="I284" t="e">
        <f>IF(OR(#REF!="UP",#REF!="DOWN"),1,0)</f>
        <v>#REF!</v>
      </c>
      <c r="M284" t="e">
        <f>IF(OR(#REF!="UP",#REF!="DOWN"),0,1)</f>
        <v>#REF!</v>
      </c>
      <c r="N284" t="e">
        <f>IF(OR(#REF!="UP",#REF!="DOWN"),VLOOKUP($C284,Configuración!$H$2:$K$11,3),1)</f>
        <v>#REF!</v>
      </c>
      <c r="O284" t="e">
        <f>IF(OR(#REF!="UP",#REF!="DOWN"),VLOOKUP($C284,Configuración!$H$2:$K$11,4),1)</f>
        <v>#REF!</v>
      </c>
      <c r="P284" t="e">
        <f t="shared" si="43"/>
        <v>#REF!</v>
      </c>
      <c r="Q284" t="e">
        <f t="shared" si="44"/>
        <v>#REF!</v>
      </c>
      <c r="R284" t="e">
        <f t="shared" si="42"/>
        <v>#REF!</v>
      </c>
      <c r="T284" t="e">
        <f>IF(R284&lt;&gt;0,Configuración!$E$2,0)</f>
        <v>#REF!</v>
      </c>
      <c r="U284" t="e">
        <f>IF(R284&lt;&gt;0,Configuración!$F$2,0)</f>
        <v>#REF!</v>
      </c>
      <c r="V284" t="e">
        <f>IF(R284&lt;&gt;0,Configuración!$G$2,0)</f>
        <v>#REF!</v>
      </c>
      <c r="W284" t="e">
        <f t="shared" si="45"/>
        <v>#REF!</v>
      </c>
      <c r="X284" t="e">
        <f t="shared" si="46"/>
        <v>#REF!</v>
      </c>
      <c r="Z284" t="e">
        <f t="shared" si="47"/>
        <v>#REF!</v>
      </c>
      <c r="AB284" t="e">
        <f t="shared" si="48"/>
        <v>#REF!</v>
      </c>
      <c r="AG284" t="e">
        <f t="shared" si="49"/>
        <v>#REF!</v>
      </c>
      <c r="AH284" s="5" t="e">
        <f t="shared" si="50"/>
        <v>#REF!</v>
      </c>
      <c r="AI284" t="e">
        <f t="shared" si="51"/>
        <v>#REF!</v>
      </c>
    </row>
    <row r="285" spans="1:35" x14ac:dyDescent="0.55000000000000004">
      <c r="A285">
        <v>10112025</v>
      </c>
      <c r="C285" t="s">
        <v>34</v>
      </c>
      <c r="D285" t="e">
        <f>IF(COUNTIF(#REF!,"&lt;&gt;NAN")=0, 0, IF(AND(OR(#REF!=#REF!,#REF!="NAN"), OR(#REF!=#REF!,#REF!="NAN"), OR(#REF!=#REF!,#REF!="NAN")),#REF!, 0))</f>
        <v>#REF!</v>
      </c>
      <c r="E285" t="e">
        <f>IF(#REF!="NAN","",IF(
   AND(OR(#REF!=#REF!,#REF!="NAN"),
     OR(#REF!=#REF!,#REF!="NAN"),
     OR(#REF!=#REF!,#REF!="NAN")),
   1,
   0))</f>
        <v>#REF!</v>
      </c>
      <c r="F285" t="s">
        <v>37</v>
      </c>
      <c r="G285" t="e">
        <f>IF(OR(#REF!="UP",#REF!="DOWN"),1,0)</f>
        <v>#REF!</v>
      </c>
      <c r="H285" t="e">
        <f>IF(OR(#REF!="UP",#REF!="DOWN"),1,0)</f>
        <v>#REF!</v>
      </c>
      <c r="I285" t="e">
        <f>IF(OR(#REF!="UP",#REF!="DOWN"),1,0)</f>
        <v>#REF!</v>
      </c>
      <c r="M285" t="e">
        <f>IF(OR(#REF!="UP",#REF!="DOWN"),0,1)</f>
        <v>#REF!</v>
      </c>
      <c r="N285" t="e">
        <f>IF(OR(#REF!="UP",#REF!="DOWN"),VLOOKUP($C285,Configuración!$H$2:$K$11,3),1)</f>
        <v>#REF!</v>
      </c>
      <c r="O285" t="e">
        <f>IF(OR(#REF!="UP",#REF!="DOWN"),VLOOKUP($C285,Configuración!$H$2:$K$11,4),1)</f>
        <v>#REF!</v>
      </c>
      <c r="P285" t="e">
        <f t="shared" si="43"/>
        <v>#REF!</v>
      </c>
      <c r="Q285" t="e">
        <f t="shared" si="44"/>
        <v>#REF!</v>
      </c>
      <c r="R285" t="s">
        <v>37</v>
      </c>
      <c r="S285">
        <v>1.7707599999999999</v>
      </c>
      <c r="T285">
        <f>IF(R285&lt;&gt;0,Configuración!$E$2,0)</f>
        <v>1</v>
      </c>
      <c r="U285">
        <f>IF(R285&lt;&gt;0,Configuración!$F$2,0)</f>
        <v>2</v>
      </c>
      <c r="V285">
        <f>IF(R285&lt;&gt;0,Configuración!$G$2,0)</f>
        <v>5</v>
      </c>
      <c r="W285">
        <f t="shared" si="45"/>
        <v>1.7530523999999998</v>
      </c>
      <c r="X285">
        <f t="shared" si="46"/>
        <v>1.8061752</v>
      </c>
      <c r="Z285" t="str">
        <f t="shared" si="47"/>
        <v/>
      </c>
      <c r="AB285">
        <f t="shared" si="48"/>
        <v>0.72040000000000004</v>
      </c>
      <c r="AG285">
        <f t="shared" si="49"/>
        <v>-1000</v>
      </c>
      <c r="AH285" s="5">
        <f t="shared" si="50"/>
        <v>-720.40000000000009</v>
      </c>
      <c r="AI285" t="str">
        <f t="shared" si="51"/>
        <v>MANTENER</v>
      </c>
    </row>
    <row r="286" spans="1:35" x14ac:dyDescent="0.55000000000000004">
      <c r="C286" t="s">
        <v>32</v>
      </c>
      <c r="D286" t="e">
        <f>IF(COUNTIF(#REF!,"&lt;&gt;NAN")=0, 0, IF(AND(OR(#REF!=#REF!,#REF!="NAN"), OR(#REF!=#REF!,#REF!="NAN"), OR(#REF!=#REF!,#REF!="NAN")),#REF!, 0))</f>
        <v>#REF!</v>
      </c>
      <c r="E286" t="e">
        <f>IF(#REF!="NAN","",IF(
   AND(OR(#REF!=#REF!,#REF!="NAN"),
     OR(#REF!=#REF!,#REF!="NAN"),
     OR(#REF!=#REF!,#REF!="NAN")),
   1,
   0))</f>
        <v>#REF!</v>
      </c>
      <c r="F286" t="s">
        <v>38</v>
      </c>
      <c r="G286" t="e">
        <f>IF(OR(#REF!="UP",#REF!="DOWN"),1,0)</f>
        <v>#REF!</v>
      </c>
      <c r="H286" t="e">
        <f>IF(OR(#REF!="UP",#REF!="DOWN"),1,0)</f>
        <v>#REF!</v>
      </c>
      <c r="I286" t="e">
        <f>IF(OR(#REF!="UP",#REF!="DOWN"),1,0)</f>
        <v>#REF!</v>
      </c>
      <c r="M286" t="e">
        <f>IF(OR(#REF!="UP",#REF!="DOWN"),0,1)</f>
        <v>#REF!</v>
      </c>
      <c r="N286" t="e">
        <f>IF(OR(#REF!="UP",#REF!="DOWN"),VLOOKUP($C286,Configuración!$H$2:$K$11,3),1)</f>
        <v>#REF!</v>
      </c>
      <c r="O286" t="e">
        <f>IF(OR(#REF!="UP",#REF!="DOWN"),VLOOKUP($C286,Configuración!$H$2:$K$11,4),1)</f>
        <v>#REF!</v>
      </c>
      <c r="P286" t="e">
        <f t="shared" si="43"/>
        <v>#REF!</v>
      </c>
      <c r="Q286" t="e">
        <f t="shared" si="44"/>
        <v>#REF!</v>
      </c>
      <c r="R286" t="s">
        <v>38</v>
      </c>
      <c r="S286">
        <v>0.91556999999999999</v>
      </c>
      <c r="T286">
        <f>IF(R286&lt;&gt;0,Configuración!$E$2,0)</f>
        <v>1</v>
      </c>
      <c r="U286">
        <f>IF(R286&lt;&gt;0,Configuración!$F$2,0)</f>
        <v>2</v>
      </c>
      <c r="V286">
        <f>IF(R286&lt;&gt;0,Configuración!$G$2,0)</f>
        <v>5</v>
      </c>
      <c r="W286">
        <f t="shared" si="45"/>
        <v>0.92472569999999998</v>
      </c>
      <c r="X286">
        <f t="shared" si="46"/>
        <v>0.89725860000000002</v>
      </c>
      <c r="Z286">
        <f t="shared" si="47"/>
        <v>0</v>
      </c>
      <c r="AB286">
        <f t="shared" si="48"/>
        <v>0.72040000000000004</v>
      </c>
      <c r="AG286">
        <f t="shared" si="49"/>
        <v>1000</v>
      </c>
      <c r="AH286" s="5">
        <f t="shared" si="50"/>
        <v>720.40000000000009</v>
      </c>
      <c r="AI286" t="str">
        <f t="shared" si="51"/>
        <v>MANTENER</v>
      </c>
    </row>
    <row r="287" spans="1:35" x14ac:dyDescent="0.55000000000000004">
      <c r="C287" t="s">
        <v>29</v>
      </c>
      <c r="D287" t="e">
        <f>IF(COUNTIF(#REF!,"&lt;&gt;NAN")=0, 0, IF(AND(OR(#REF!=#REF!,#REF!="NAN"), OR(#REF!=#REF!,#REF!="NAN"), OR(#REF!=#REF!,#REF!="NAN")),#REF!, 0))</f>
        <v>#REF!</v>
      </c>
      <c r="E287" t="e">
        <f>IF(#REF!="NAN","",IF(
   AND(OR(#REF!=#REF!,#REF!="NAN"),
     OR(#REF!=#REF!,#REF!="NAN"),
     OR(#REF!=#REF!,#REF!="NAN")),
   1,
   0))</f>
        <v>#REF!</v>
      </c>
      <c r="F287" t="s">
        <v>38</v>
      </c>
      <c r="G287" t="e">
        <f>IF(OR(#REF!="UP",#REF!="DOWN"),1,0)</f>
        <v>#REF!</v>
      </c>
      <c r="H287" t="e">
        <f>IF(OR(#REF!="UP",#REF!="DOWN"),1,0)</f>
        <v>#REF!</v>
      </c>
      <c r="I287" t="e">
        <f>IF(OR(#REF!="UP",#REF!="DOWN"),1,0)</f>
        <v>#REF!</v>
      </c>
      <c r="M287" t="e">
        <f>IF(OR(#REF!="UP",#REF!="DOWN"),0,1)</f>
        <v>#REF!</v>
      </c>
      <c r="N287" t="e">
        <f>IF(OR(#REF!="UP",#REF!="DOWN"),VLOOKUP($C287,Configuración!$H$2:$K$11,3),1)</f>
        <v>#REF!</v>
      </c>
      <c r="O287" t="e">
        <f>IF(OR(#REF!="UP",#REF!="DOWN"),VLOOKUP($C287,Configuración!$H$2:$K$11,4),1)</f>
        <v>#REF!</v>
      </c>
      <c r="P287" t="e">
        <f t="shared" si="43"/>
        <v>#REF!</v>
      </c>
      <c r="Q287" t="e">
        <f t="shared" si="44"/>
        <v>#REF!</v>
      </c>
      <c r="R287" t="s">
        <v>38</v>
      </c>
      <c r="S287">
        <v>0.80528999999999995</v>
      </c>
      <c r="T287">
        <f>IF(R287&lt;&gt;0,Configuración!$E$2,0)</f>
        <v>1</v>
      </c>
      <c r="U287">
        <f>IF(R287&lt;&gt;0,Configuración!$F$2,0)</f>
        <v>2</v>
      </c>
      <c r="V287">
        <f>IF(R287&lt;&gt;0,Configuración!$G$2,0)</f>
        <v>5</v>
      </c>
      <c r="W287">
        <f t="shared" si="45"/>
        <v>0.81334289999999998</v>
      </c>
      <c r="X287">
        <f t="shared" si="46"/>
        <v>0.7891842</v>
      </c>
      <c r="Z287">
        <f t="shared" si="47"/>
        <v>0</v>
      </c>
      <c r="AB287">
        <f t="shared" si="48"/>
        <v>0.72040000000000004</v>
      </c>
      <c r="AG287">
        <f t="shared" si="49"/>
        <v>1000</v>
      </c>
      <c r="AH287" s="5">
        <f t="shared" si="50"/>
        <v>720.40000000000009</v>
      </c>
      <c r="AI287" t="str">
        <f t="shared" si="51"/>
        <v>MANTENER</v>
      </c>
    </row>
    <row r="288" spans="1:35" x14ac:dyDescent="0.55000000000000004">
      <c r="C288" t="s">
        <v>26</v>
      </c>
      <c r="D288" t="e">
        <f>IF(COUNTIF(#REF!,"&lt;&gt;NAN")=0, 0, IF(AND(OR(#REF!=#REF!,#REF!="NAN"), OR(#REF!=#REF!,#REF!="NAN"), OR(#REF!=#REF!,#REF!="NAN")),#REF!, 0))</f>
        <v>#REF!</v>
      </c>
      <c r="E288" t="e">
        <f>IF(#REF!="NAN","",IF(
   AND(OR(#REF!=#REF!,#REF!="NAN"),
     OR(#REF!=#REF!,#REF!="NAN"),
     OR(#REF!=#REF!,#REF!="NAN")),
   1,
   0))</f>
        <v>#REF!</v>
      </c>
      <c r="F288" t="s">
        <v>37</v>
      </c>
      <c r="G288" t="e">
        <f>IF(OR(#REF!="UP",#REF!="DOWN"),1,0)</f>
        <v>#REF!</v>
      </c>
      <c r="H288" t="e">
        <f>IF(OR(#REF!="UP",#REF!="DOWN"),1,0)</f>
        <v>#REF!</v>
      </c>
      <c r="I288" t="e">
        <f>IF(OR(#REF!="UP",#REF!="DOWN"),1,0)</f>
        <v>#REF!</v>
      </c>
      <c r="M288" t="e">
        <f>IF(OR(#REF!="UP",#REF!="DOWN"),0,1)</f>
        <v>#REF!</v>
      </c>
      <c r="N288" t="e">
        <f>IF(OR(#REF!="UP",#REF!="DOWN"),VLOOKUP($C288,Configuración!$H$2:$K$11,3),1)</f>
        <v>#REF!</v>
      </c>
      <c r="O288" t="e">
        <f>IF(OR(#REF!="UP",#REF!="DOWN"),VLOOKUP($C288,Configuración!$H$2:$K$11,4),1)</f>
        <v>#REF!</v>
      </c>
      <c r="P288" t="e">
        <f t="shared" si="43"/>
        <v>#REF!</v>
      </c>
      <c r="Q288" t="e">
        <f t="shared" si="44"/>
        <v>#REF!</v>
      </c>
      <c r="R288" t="s">
        <v>81</v>
      </c>
      <c r="S288">
        <v>0.64973000000000003</v>
      </c>
      <c r="T288">
        <f>IF(R288&lt;&gt;0,Configuración!$E$2,0)</f>
        <v>1</v>
      </c>
      <c r="U288">
        <f>IF(R288&lt;&gt;0,Configuración!$F$2,0)</f>
        <v>2</v>
      </c>
      <c r="V288">
        <f>IF(R288&lt;&gt;0,Configuración!$G$2,0)</f>
        <v>5</v>
      </c>
      <c r="W288">
        <f t="shared" si="45"/>
        <v>0.64323269999999999</v>
      </c>
      <c r="X288">
        <f t="shared" si="46"/>
        <v>0.6627246</v>
      </c>
      <c r="Z288" t="str">
        <f t="shared" si="47"/>
        <v/>
      </c>
      <c r="AB288">
        <f t="shared" si="48"/>
        <v>0.72040000000000004</v>
      </c>
      <c r="AG288">
        <f t="shared" si="49"/>
        <v>-1000</v>
      </c>
      <c r="AH288" s="5">
        <f t="shared" si="50"/>
        <v>-720.40000000000009</v>
      </c>
      <c r="AI288" t="str">
        <f t="shared" si="51"/>
        <v>MANTENER</v>
      </c>
    </row>
    <row r="289" spans="4:35" x14ac:dyDescent="0.55000000000000004">
      <c r="D289" t="e">
        <f>IF(COUNTIF(#REF!,"&lt;&gt;NAN")=0, 0, IF(AND(OR(#REF!=#REF!,#REF!="NAN"), OR(#REF!=#REF!,#REF!="NAN"), OR(#REF!=#REF!,#REF!="NAN")),#REF!, 0))</f>
        <v>#REF!</v>
      </c>
      <c r="E289" t="e">
        <f>IF(#REF!="NAN","",IF(
   AND(OR(#REF!=#REF!,#REF!="NAN"),
     OR(#REF!=#REF!,#REF!="NAN"),
     OR(#REF!=#REF!,#REF!="NAN")),
   1,
   0))</f>
        <v>#REF!</v>
      </c>
      <c r="G289" t="e">
        <f>IF(OR(#REF!="UP",#REF!="DOWN"),1,0)</f>
        <v>#REF!</v>
      </c>
      <c r="H289" t="e">
        <f>IF(OR(#REF!="UP",#REF!="DOWN"),1,0)</f>
        <v>#REF!</v>
      </c>
      <c r="I289" t="e">
        <f>IF(OR(#REF!="UP",#REF!="DOWN"),1,0)</f>
        <v>#REF!</v>
      </c>
      <c r="M289" t="e">
        <f>IF(OR(#REF!="UP",#REF!="DOWN"),0,1)</f>
        <v>#REF!</v>
      </c>
      <c r="N289" t="e">
        <f>IF(OR(#REF!="UP",#REF!="DOWN"),VLOOKUP($C289,Configuración!$H$2:$K$11,3),1)</f>
        <v>#REF!</v>
      </c>
      <c r="O289" t="e">
        <f>IF(OR(#REF!="UP",#REF!="DOWN"),VLOOKUP($C289,Configuración!$H$2:$K$11,4),1)</f>
        <v>#REF!</v>
      </c>
      <c r="P289" t="e">
        <f t="shared" si="43"/>
        <v>#REF!</v>
      </c>
      <c r="Q289" t="e">
        <f t="shared" si="44"/>
        <v>#REF!</v>
      </c>
      <c r="R289" t="e">
        <f t="shared" si="42"/>
        <v>#REF!</v>
      </c>
      <c r="T289" t="e">
        <f>IF(R289&lt;&gt;0,Configuración!$E$2,0)</f>
        <v>#REF!</v>
      </c>
      <c r="U289" t="e">
        <f>IF(R289&lt;&gt;0,Configuración!$F$2,0)</f>
        <v>#REF!</v>
      </c>
      <c r="V289" t="e">
        <f>IF(R289&lt;&gt;0,Configuración!$G$2,0)</f>
        <v>#REF!</v>
      </c>
      <c r="W289" t="e">
        <f t="shared" si="45"/>
        <v>#REF!</v>
      </c>
      <c r="X289" t="e">
        <f t="shared" si="46"/>
        <v>#REF!</v>
      </c>
      <c r="Z289" t="e">
        <f t="shared" si="47"/>
        <v>#REF!</v>
      </c>
      <c r="AB289" t="e">
        <f t="shared" si="48"/>
        <v>#REF!</v>
      </c>
      <c r="AG289" t="e">
        <f t="shared" si="49"/>
        <v>#REF!</v>
      </c>
      <c r="AH289" s="5" t="e">
        <f t="shared" si="50"/>
        <v>#REF!</v>
      </c>
      <c r="AI289" t="e">
        <f t="shared" si="51"/>
        <v>#REF!</v>
      </c>
    </row>
    <row r="290" spans="4:35" x14ac:dyDescent="0.55000000000000004">
      <c r="D290" t="e">
        <f>IF(COUNTIF(#REF!,"&lt;&gt;NAN")=0, 0, IF(AND(OR(#REF!=#REF!,#REF!="NAN"), OR(#REF!=#REF!,#REF!="NAN"), OR(#REF!=#REF!,#REF!="NAN")),#REF!, 0))</f>
        <v>#REF!</v>
      </c>
      <c r="E290" t="e">
        <f>IF(#REF!="NAN","",IF(
   AND(OR(#REF!=#REF!,#REF!="NAN"),
     OR(#REF!=#REF!,#REF!="NAN"),
     OR(#REF!=#REF!,#REF!="NAN")),
   1,
   0))</f>
        <v>#REF!</v>
      </c>
      <c r="G290" t="e">
        <f>IF(OR(#REF!="UP",#REF!="DOWN"),1,0)</f>
        <v>#REF!</v>
      </c>
      <c r="H290" t="e">
        <f>IF(OR(#REF!="UP",#REF!="DOWN"),1,0)</f>
        <v>#REF!</v>
      </c>
      <c r="I290" t="e">
        <f>IF(OR(#REF!="UP",#REF!="DOWN"),1,0)</f>
        <v>#REF!</v>
      </c>
      <c r="M290" t="e">
        <f>IF(OR(#REF!="UP",#REF!="DOWN"),0,1)</f>
        <v>#REF!</v>
      </c>
      <c r="N290" t="e">
        <f>IF(OR(#REF!="UP",#REF!="DOWN"),VLOOKUP($C290,Configuración!$H$2:$K$11,3),1)</f>
        <v>#REF!</v>
      </c>
      <c r="O290" t="e">
        <f>IF(OR(#REF!="UP",#REF!="DOWN"),VLOOKUP($C290,Configuración!$H$2:$K$11,4),1)</f>
        <v>#REF!</v>
      </c>
      <c r="P290" t="e">
        <f t="shared" si="43"/>
        <v>#REF!</v>
      </c>
      <c r="Q290" t="e">
        <f t="shared" si="44"/>
        <v>#REF!</v>
      </c>
      <c r="R290" t="e">
        <f t="shared" si="42"/>
        <v>#REF!</v>
      </c>
      <c r="T290" t="e">
        <f>IF(R290&lt;&gt;0,Configuración!$E$2,0)</f>
        <v>#REF!</v>
      </c>
      <c r="U290" t="e">
        <f>IF(R290&lt;&gt;0,Configuración!$F$2,0)</f>
        <v>#REF!</v>
      </c>
      <c r="V290" t="e">
        <f>IF(R290&lt;&gt;0,Configuración!$G$2,0)</f>
        <v>#REF!</v>
      </c>
      <c r="W290" t="e">
        <f t="shared" si="45"/>
        <v>#REF!</v>
      </c>
      <c r="X290" t="e">
        <f t="shared" si="46"/>
        <v>#REF!</v>
      </c>
      <c r="Z290" t="e">
        <f t="shared" si="47"/>
        <v>#REF!</v>
      </c>
      <c r="AB290" t="e">
        <f t="shared" si="48"/>
        <v>#REF!</v>
      </c>
      <c r="AG290" t="e">
        <f t="shared" si="49"/>
        <v>#REF!</v>
      </c>
      <c r="AH290" s="5" t="e">
        <f t="shared" si="50"/>
        <v>#REF!</v>
      </c>
      <c r="AI290" t="e">
        <f t="shared" si="51"/>
        <v>#REF!</v>
      </c>
    </row>
    <row r="291" spans="4:35" x14ac:dyDescent="0.55000000000000004">
      <c r="D291" t="e">
        <f>IF(COUNTIF(#REF!,"&lt;&gt;NAN")=0, 0, IF(AND(OR(#REF!=#REF!,#REF!="NAN"), OR(#REF!=#REF!,#REF!="NAN"), OR(#REF!=#REF!,#REF!="NAN")),#REF!, 0))</f>
        <v>#REF!</v>
      </c>
      <c r="E291" t="e">
        <f>IF(#REF!="NAN","",IF(
   AND(OR(#REF!=#REF!,#REF!="NAN"),
     OR(#REF!=#REF!,#REF!="NAN"),
     OR(#REF!=#REF!,#REF!="NAN")),
   1,
   0))</f>
        <v>#REF!</v>
      </c>
      <c r="G291" t="e">
        <f>IF(OR(#REF!="UP",#REF!="DOWN"),1,0)</f>
        <v>#REF!</v>
      </c>
      <c r="H291" t="e">
        <f>IF(OR(#REF!="UP",#REF!="DOWN"),1,0)</f>
        <v>#REF!</v>
      </c>
      <c r="I291" t="e">
        <f>IF(OR(#REF!="UP",#REF!="DOWN"),1,0)</f>
        <v>#REF!</v>
      </c>
      <c r="M291" t="e">
        <f>IF(OR(#REF!="UP",#REF!="DOWN"),0,1)</f>
        <v>#REF!</v>
      </c>
      <c r="N291" t="e">
        <f>IF(OR(#REF!="UP",#REF!="DOWN"),VLOOKUP($C291,Configuración!$H$2:$K$11,3),1)</f>
        <v>#REF!</v>
      </c>
      <c r="O291" t="e">
        <f>IF(OR(#REF!="UP",#REF!="DOWN"),VLOOKUP($C291,Configuración!$H$2:$K$11,4),1)</f>
        <v>#REF!</v>
      </c>
      <c r="P291" t="e">
        <f t="shared" si="43"/>
        <v>#REF!</v>
      </c>
      <c r="Q291" t="e">
        <f t="shared" si="44"/>
        <v>#REF!</v>
      </c>
      <c r="R291" t="e">
        <f t="shared" si="42"/>
        <v>#REF!</v>
      </c>
      <c r="T291" t="e">
        <f>IF(R291&lt;&gt;0,Configuración!$E$2,0)</f>
        <v>#REF!</v>
      </c>
      <c r="U291" t="e">
        <f>IF(R291&lt;&gt;0,Configuración!$F$2,0)</f>
        <v>#REF!</v>
      </c>
      <c r="V291" t="e">
        <f>IF(R291&lt;&gt;0,Configuración!$G$2,0)</f>
        <v>#REF!</v>
      </c>
      <c r="W291" t="e">
        <f t="shared" si="45"/>
        <v>#REF!</v>
      </c>
      <c r="X291" t="e">
        <f t="shared" si="46"/>
        <v>#REF!</v>
      </c>
      <c r="Z291" t="e">
        <f t="shared" si="47"/>
        <v>#REF!</v>
      </c>
      <c r="AB291" t="e">
        <f t="shared" si="48"/>
        <v>#REF!</v>
      </c>
      <c r="AG291" t="e">
        <f t="shared" si="49"/>
        <v>#REF!</v>
      </c>
      <c r="AH291" s="5" t="e">
        <f t="shared" si="50"/>
        <v>#REF!</v>
      </c>
      <c r="AI291" t="e">
        <f t="shared" si="51"/>
        <v>#REF!</v>
      </c>
    </row>
    <row r="292" spans="4:35" x14ac:dyDescent="0.55000000000000004">
      <c r="D292" t="e">
        <f>IF(COUNTIF(#REF!,"&lt;&gt;NAN")=0, 0, IF(AND(OR(#REF!=#REF!,#REF!="NAN"), OR(#REF!=#REF!,#REF!="NAN"), OR(#REF!=#REF!,#REF!="NAN")),#REF!, 0))</f>
        <v>#REF!</v>
      </c>
      <c r="E292" t="e">
        <f>IF(#REF!="NAN","",IF(
   AND(OR(#REF!=#REF!,#REF!="NAN"),
     OR(#REF!=#REF!,#REF!="NAN"),
     OR(#REF!=#REF!,#REF!="NAN")),
   1,
   0))</f>
        <v>#REF!</v>
      </c>
      <c r="G292" t="e">
        <f>IF(OR(#REF!="UP",#REF!="DOWN"),1,0)</f>
        <v>#REF!</v>
      </c>
      <c r="H292" t="e">
        <f>IF(OR(#REF!="UP",#REF!="DOWN"),1,0)</f>
        <v>#REF!</v>
      </c>
      <c r="I292" t="e">
        <f>IF(OR(#REF!="UP",#REF!="DOWN"),1,0)</f>
        <v>#REF!</v>
      </c>
      <c r="M292" t="e">
        <f>IF(OR(#REF!="UP",#REF!="DOWN"),0,1)</f>
        <v>#REF!</v>
      </c>
      <c r="N292" t="e">
        <f>IF(OR(#REF!="UP",#REF!="DOWN"),VLOOKUP($C292,Configuración!$H$2:$K$11,3),1)</f>
        <v>#REF!</v>
      </c>
      <c r="O292" t="e">
        <f>IF(OR(#REF!="UP",#REF!="DOWN"),VLOOKUP($C292,Configuración!$H$2:$K$11,4),1)</f>
        <v>#REF!</v>
      </c>
      <c r="P292" t="e">
        <f t="shared" si="43"/>
        <v>#REF!</v>
      </c>
      <c r="Q292" t="e">
        <f t="shared" si="44"/>
        <v>#REF!</v>
      </c>
      <c r="R292" t="e">
        <f t="shared" si="42"/>
        <v>#REF!</v>
      </c>
      <c r="T292" t="e">
        <f>IF(R292&lt;&gt;0,Configuración!$E$2,0)</f>
        <v>#REF!</v>
      </c>
      <c r="U292" t="e">
        <f>IF(R292&lt;&gt;0,Configuración!$F$2,0)</f>
        <v>#REF!</v>
      </c>
      <c r="V292" t="e">
        <f>IF(R292&lt;&gt;0,Configuración!$G$2,0)</f>
        <v>#REF!</v>
      </c>
      <c r="W292" t="e">
        <f t="shared" si="45"/>
        <v>#REF!</v>
      </c>
      <c r="X292" t="e">
        <f t="shared" si="46"/>
        <v>#REF!</v>
      </c>
      <c r="Z292" t="e">
        <f t="shared" si="47"/>
        <v>#REF!</v>
      </c>
      <c r="AB292" t="e">
        <f t="shared" si="48"/>
        <v>#REF!</v>
      </c>
      <c r="AG292" t="e">
        <f t="shared" si="49"/>
        <v>#REF!</v>
      </c>
      <c r="AH292" s="5" t="e">
        <f t="shared" si="50"/>
        <v>#REF!</v>
      </c>
      <c r="AI292" t="e">
        <f t="shared" si="51"/>
        <v>#REF!</v>
      </c>
    </row>
    <row r="293" spans="4:35" x14ac:dyDescent="0.55000000000000004">
      <c r="D293" t="e">
        <f>IF(COUNTIF(#REF!,"&lt;&gt;NAN")=0, 0, IF(AND(OR(#REF!=#REF!,#REF!="NAN"), OR(#REF!=#REF!,#REF!="NAN"), OR(#REF!=#REF!,#REF!="NAN")),#REF!, 0))</f>
        <v>#REF!</v>
      </c>
      <c r="E293" t="e">
        <f>IF(#REF!="NAN","",IF(
   AND(OR(#REF!=#REF!,#REF!="NAN"),
     OR(#REF!=#REF!,#REF!="NAN"),
     OR(#REF!=#REF!,#REF!="NAN")),
   1,
   0))</f>
        <v>#REF!</v>
      </c>
      <c r="G293" t="e">
        <f>IF(OR(#REF!="UP",#REF!="DOWN"),1,0)</f>
        <v>#REF!</v>
      </c>
      <c r="H293" t="e">
        <f>IF(OR(#REF!="UP",#REF!="DOWN"),1,0)</f>
        <v>#REF!</v>
      </c>
      <c r="I293" t="e">
        <f>IF(OR(#REF!="UP",#REF!="DOWN"),1,0)</f>
        <v>#REF!</v>
      </c>
      <c r="M293" t="e">
        <f>IF(OR(#REF!="UP",#REF!="DOWN"),0,1)</f>
        <v>#REF!</v>
      </c>
      <c r="N293" t="e">
        <f>IF(OR(#REF!="UP",#REF!="DOWN"),VLOOKUP($C293,Configuración!$H$2:$K$11,3),1)</f>
        <v>#REF!</v>
      </c>
      <c r="O293" t="e">
        <f>IF(OR(#REF!="UP",#REF!="DOWN"),VLOOKUP($C293,Configuración!$H$2:$K$11,4),1)</f>
        <v>#REF!</v>
      </c>
      <c r="P293" t="e">
        <f t="shared" si="43"/>
        <v>#REF!</v>
      </c>
      <c r="Q293" t="e">
        <f t="shared" si="44"/>
        <v>#REF!</v>
      </c>
      <c r="R293" t="e">
        <f t="shared" si="42"/>
        <v>#REF!</v>
      </c>
      <c r="T293" t="e">
        <f>IF(R293&lt;&gt;0,Configuración!$E$2,0)</f>
        <v>#REF!</v>
      </c>
      <c r="U293" t="e">
        <f>IF(R293&lt;&gt;0,Configuración!$F$2,0)</f>
        <v>#REF!</v>
      </c>
      <c r="V293" t="e">
        <f>IF(R293&lt;&gt;0,Configuración!$G$2,0)</f>
        <v>#REF!</v>
      </c>
      <c r="W293" t="e">
        <f t="shared" si="45"/>
        <v>#REF!</v>
      </c>
      <c r="X293" t="e">
        <f t="shared" si="46"/>
        <v>#REF!</v>
      </c>
      <c r="Z293" t="e">
        <f t="shared" si="47"/>
        <v>#REF!</v>
      </c>
      <c r="AB293" t="e">
        <f t="shared" si="48"/>
        <v>#REF!</v>
      </c>
      <c r="AG293" t="e">
        <f t="shared" si="49"/>
        <v>#REF!</v>
      </c>
      <c r="AH293" s="5" t="e">
        <f t="shared" si="50"/>
        <v>#REF!</v>
      </c>
      <c r="AI293" t="e">
        <f t="shared" si="51"/>
        <v>#REF!</v>
      </c>
    </row>
    <row r="294" spans="4:35" x14ac:dyDescent="0.55000000000000004">
      <c r="D294" t="e">
        <f>IF(COUNTIF(#REF!,"&lt;&gt;NAN")=0, 0, IF(AND(OR(#REF!=#REF!,#REF!="NAN"), OR(#REF!=#REF!,#REF!="NAN"), OR(#REF!=#REF!,#REF!="NAN")),#REF!, 0))</f>
        <v>#REF!</v>
      </c>
      <c r="E294" t="e">
        <f>IF(#REF!="NAN","",IF(
   AND(OR(#REF!=#REF!,#REF!="NAN"),
     OR(#REF!=#REF!,#REF!="NAN"),
     OR(#REF!=#REF!,#REF!="NAN")),
   1,
   0))</f>
        <v>#REF!</v>
      </c>
      <c r="G294" t="e">
        <f>IF(OR(#REF!="UP",#REF!="DOWN"),1,0)</f>
        <v>#REF!</v>
      </c>
      <c r="H294" t="e">
        <f>IF(OR(#REF!="UP",#REF!="DOWN"),1,0)</f>
        <v>#REF!</v>
      </c>
      <c r="I294" t="e">
        <f>IF(OR(#REF!="UP",#REF!="DOWN"),1,0)</f>
        <v>#REF!</v>
      </c>
      <c r="M294" t="e">
        <f>IF(OR(#REF!="UP",#REF!="DOWN"),0,1)</f>
        <v>#REF!</v>
      </c>
      <c r="N294" t="e">
        <f>IF(OR(#REF!="UP",#REF!="DOWN"),VLOOKUP($C294,Configuración!$H$2:$K$11,3),1)</f>
        <v>#REF!</v>
      </c>
      <c r="O294" t="e">
        <f>IF(OR(#REF!="UP",#REF!="DOWN"),VLOOKUP($C294,Configuración!$H$2:$K$11,4),1)</f>
        <v>#REF!</v>
      </c>
      <c r="P294" t="e">
        <f t="shared" si="43"/>
        <v>#REF!</v>
      </c>
      <c r="Q294" t="e">
        <f t="shared" si="44"/>
        <v>#REF!</v>
      </c>
      <c r="R294" t="e">
        <f t="shared" si="42"/>
        <v>#REF!</v>
      </c>
      <c r="T294" t="e">
        <f>IF(R294&lt;&gt;0,Configuración!$E$2,0)</f>
        <v>#REF!</v>
      </c>
      <c r="U294" t="e">
        <f>IF(R294&lt;&gt;0,Configuración!$F$2,0)</f>
        <v>#REF!</v>
      </c>
      <c r="V294" t="e">
        <f>IF(R294&lt;&gt;0,Configuración!$G$2,0)</f>
        <v>#REF!</v>
      </c>
      <c r="W294" t="e">
        <f t="shared" si="45"/>
        <v>#REF!</v>
      </c>
      <c r="X294" t="e">
        <f t="shared" si="46"/>
        <v>#REF!</v>
      </c>
      <c r="Z294" t="e">
        <f t="shared" si="47"/>
        <v>#REF!</v>
      </c>
      <c r="AB294" t="e">
        <f t="shared" si="48"/>
        <v>#REF!</v>
      </c>
      <c r="AG294" t="e">
        <f t="shared" si="49"/>
        <v>#REF!</v>
      </c>
      <c r="AH294" s="5" t="e">
        <f t="shared" si="50"/>
        <v>#REF!</v>
      </c>
      <c r="AI294" t="e">
        <f t="shared" si="51"/>
        <v>#REF!</v>
      </c>
    </row>
    <row r="295" spans="4:35" x14ac:dyDescent="0.55000000000000004">
      <c r="D295" t="e">
        <f>IF(COUNTIF(#REF!,"&lt;&gt;NAN")=0, 0, IF(AND(OR(#REF!=#REF!,#REF!="NAN"), OR(#REF!=#REF!,#REF!="NAN"), OR(#REF!=#REF!,#REF!="NAN")),#REF!, 0))</f>
        <v>#REF!</v>
      </c>
      <c r="E295" t="e">
        <f>IF(#REF!="NAN","",IF(
   AND(OR(#REF!=#REF!,#REF!="NAN"),
     OR(#REF!=#REF!,#REF!="NAN"),
     OR(#REF!=#REF!,#REF!="NAN")),
   1,
   0))</f>
        <v>#REF!</v>
      </c>
      <c r="G295" t="e">
        <f>IF(OR(#REF!="UP",#REF!="DOWN"),1,0)</f>
        <v>#REF!</v>
      </c>
      <c r="H295" t="e">
        <f>IF(OR(#REF!="UP",#REF!="DOWN"),1,0)</f>
        <v>#REF!</v>
      </c>
      <c r="I295" t="e">
        <f>IF(OR(#REF!="UP",#REF!="DOWN"),1,0)</f>
        <v>#REF!</v>
      </c>
      <c r="M295" t="e">
        <f>IF(OR(#REF!="UP",#REF!="DOWN"),0,1)</f>
        <v>#REF!</v>
      </c>
      <c r="N295" t="e">
        <f>IF(OR(#REF!="UP",#REF!="DOWN"),VLOOKUP($C295,Configuración!$H$2:$K$11,3),1)</f>
        <v>#REF!</v>
      </c>
      <c r="O295" t="e">
        <f>IF(OR(#REF!="UP",#REF!="DOWN"),VLOOKUP($C295,Configuración!$H$2:$K$11,4),1)</f>
        <v>#REF!</v>
      </c>
      <c r="P295" t="e">
        <f t="shared" si="43"/>
        <v>#REF!</v>
      </c>
      <c r="Q295" t="e">
        <f t="shared" si="44"/>
        <v>#REF!</v>
      </c>
      <c r="R295" t="e">
        <f t="shared" si="42"/>
        <v>#REF!</v>
      </c>
      <c r="T295" t="e">
        <f>IF(R295&lt;&gt;0,Configuración!$E$2,0)</f>
        <v>#REF!</v>
      </c>
      <c r="U295" t="e">
        <f>IF(R295&lt;&gt;0,Configuración!$F$2,0)</f>
        <v>#REF!</v>
      </c>
      <c r="V295" t="e">
        <f>IF(R295&lt;&gt;0,Configuración!$G$2,0)</f>
        <v>#REF!</v>
      </c>
      <c r="W295" t="e">
        <f t="shared" si="45"/>
        <v>#REF!</v>
      </c>
      <c r="X295" t="e">
        <f t="shared" si="46"/>
        <v>#REF!</v>
      </c>
      <c r="Z295" t="e">
        <f t="shared" si="47"/>
        <v>#REF!</v>
      </c>
      <c r="AB295" t="e">
        <f t="shared" si="48"/>
        <v>#REF!</v>
      </c>
      <c r="AG295" t="e">
        <f t="shared" si="49"/>
        <v>#REF!</v>
      </c>
      <c r="AH295" s="5" t="e">
        <f t="shared" si="50"/>
        <v>#REF!</v>
      </c>
      <c r="AI295" t="e">
        <f t="shared" si="51"/>
        <v>#REF!</v>
      </c>
    </row>
    <row r="296" spans="4:35" x14ac:dyDescent="0.55000000000000004">
      <c r="D296" t="e">
        <f>IF(COUNTIF(#REF!,"&lt;&gt;NAN")=0, 0, IF(AND(OR(#REF!=#REF!,#REF!="NAN"), OR(#REF!=#REF!,#REF!="NAN"), OR(#REF!=#REF!,#REF!="NAN")),#REF!, 0))</f>
        <v>#REF!</v>
      </c>
      <c r="E296" t="e">
        <f>IF(#REF!="NAN","",IF(
   AND(OR(#REF!=#REF!,#REF!="NAN"),
     OR(#REF!=#REF!,#REF!="NAN"),
     OR(#REF!=#REF!,#REF!="NAN")),
   1,
   0))</f>
        <v>#REF!</v>
      </c>
      <c r="G296" t="e">
        <f>IF(OR(#REF!="UP",#REF!="DOWN"),1,0)</f>
        <v>#REF!</v>
      </c>
      <c r="H296" t="e">
        <f>IF(OR(#REF!="UP",#REF!="DOWN"),1,0)</f>
        <v>#REF!</v>
      </c>
      <c r="I296" t="e">
        <f>IF(OR(#REF!="UP",#REF!="DOWN"),1,0)</f>
        <v>#REF!</v>
      </c>
      <c r="M296" t="e">
        <f>IF(OR(#REF!="UP",#REF!="DOWN"),0,1)</f>
        <v>#REF!</v>
      </c>
      <c r="N296" t="e">
        <f>IF(OR(#REF!="UP",#REF!="DOWN"),VLOOKUP($C296,Configuración!$H$2:$K$11,3),1)</f>
        <v>#REF!</v>
      </c>
      <c r="O296" t="e">
        <f>IF(OR(#REF!="UP",#REF!="DOWN"),VLOOKUP($C296,Configuración!$H$2:$K$11,4),1)</f>
        <v>#REF!</v>
      </c>
      <c r="P296" t="e">
        <f t="shared" si="43"/>
        <v>#REF!</v>
      </c>
      <c r="Q296" t="e">
        <f t="shared" si="44"/>
        <v>#REF!</v>
      </c>
      <c r="R296" t="e">
        <f t="shared" si="42"/>
        <v>#REF!</v>
      </c>
      <c r="T296" t="e">
        <f>IF(R296&lt;&gt;0,Configuración!$E$2,0)</f>
        <v>#REF!</v>
      </c>
      <c r="U296" t="e">
        <f>IF(R296&lt;&gt;0,Configuración!$F$2,0)</f>
        <v>#REF!</v>
      </c>
      <c r="V296" t="e">
        <f>IF(R296&lt;&gt;0,Configuración!$G$2,0)</f>
        <v>#REF!</v>
      </c>
      <c r="W296" t="e">
        <f t="shared" si="45"/>
        <v>#REF!</v>
      </c>
      <c r="X296" t="e">
        <f t="shared" si="46"/>
        <v>#REF!</v>
      </c>
      <c r="Z296" t="e">
        <f t="shared" si="47"/>
        <v>#REF!</v>
      </c>
      <c r="AB296" t="e">
        <f t="shared" si="48"/>
        <v>#REF!</v>
      </c>
      <c r="AG296" t="e">
        <f t="shared" si="49"/>
        <v>#REF!</v>
      </c>
      <c r="AH296" s="5" t="e">
        <f t="shared" si="50"/>
        <v>#REF!</v>
      </c>
      <c r="AI296" t="e">
        <f t="shared" si="51"/>
        <v>#REF!</v>
      </c>
    </row>
    <row r="297" spans="4:35" x14ac:dyDescent="0.55000000000000004">
      <c r="D297" t="e">
        <f>IF(COUNTIF(#REF!,"&lt;&gt;NAN")=0, 0, IF(AND(OR(#REF!=#REF!,#REF!="NAN"), OR(#REF!=#REF!,#REF!="NAN"), OR(#REF!=#REF!,#REF!="NAN")),#REF!, 0))</f>
        <v>#REF!</v>
      </c>
      <c r="E297" t="e">
        <f>IF(#REF!="NAN","",IF(
   AND(OR(#REF!=#REF!,#REF!="NAN"),
     OR(#REF!=#REF!,#REF!="NAN"),
     OR(#REF!=#REF!,#REF!="NAN")),
   1,
   0))</f>
        <v>#REF!</v>
      </c>
      <c r="G297" t="e">
        <f>IF(OR(#REF!="UP",#REF!="DOWN"),1,0)</f>
        <v>#REF!</v>
      </c>
      <c r="H297" t="e">
        <f>IF(OR(#REF!="UP",#REF!="DOWN"),1,0)</f>
        <v>#REF!</v>
      </c>
      <c r="I297" t="e">
        <f>IF(OR(#REF!="UP",#REF!="DOWN"),1,0)</f>
        <v>#REF!</v>
      </c>
      <c r="M297" t="e">
        <f>IF(OR(#REF!="UP",#REF!="DOWN"),0,1)</f>
        <v>#REF!</v>
      </c>
      <c r="N297" t="e">
        <f>IF(OR(#REF!="UP",#REF!="DOWN"),VLOOKUP($C297,Configuración!$H$2:$K$11,3),1)</f>
        <v>#REF!</v>
      </c>
      <c r="O297" t="e">
        <f>IF(OR(#REF!="UP",#REF!="DOWN"),VLOOKUP($C297,Configuración!$H$2:$K$11,4),1)</f>
        <v>#REF!</v>
      </c>
      <c r="P297" t="e">
        <f t="shared" si="43"/>
        <v>#REF!</v>
      </c>
      <c r="Q297" t="e">
        <f t="shared" si="44"/>
        <v>#REF!</v>
      </c>
      <c r="R297" t="e">
        <f t="shared" si="42"/>
        <v>#REF!</v>
      </c>
      <c r="T297" t="e">
        <f>IF(R297&lt;&gt;0,Configuración!$E$2,0)</f>
        <v>#REF!</v>
      </c>
      <c r="U297" t="e">
        <f>IF(R297&lt;&gt;0,Configuración!$F$2,0)</f>
        <v>#REF!</v>
      </c>
      <c r="V297" t="e">
        <f>IF(R297&lt;&gt;0,Configuración!$G$2,0)</f>
        <v>#REF!</v>
      </c>
      <c r="W297" t="e">
        <f t="shared" si="45"/>
        <v>#REF!</v>
      </c>
      <c r="X297" t="e">
        <f t="shared" si="46"/>
        <v>#REF!</v>
      </c>
      <c r="Z297" t="e">
        <f t="shared" si="47"/>
        <v>#REF!</v>
      </c>
      <c r="AB297" t="e">
        <f t="shared" si="48"/>
        <v>#REF!</v>
      </c>
      <c r="AG297" t="e">
        <f t="shared" si="49"/>
        <v>#REF!</v>
      </c>
      <c r="AH297" s="5" t="e">
        <f t="shared" si="50"/>
        <v>#REF!</v>
      </c>
      <c r="AI297" t="e">
        <f t="shared" si="51"/>
        <v>#REF!</v>
      </c>
    </row>
    <row r="298" spans="4:35" x14ac:dyDescent="0.55000000000000004">
      <c r="D298" t="e">
        <f>IF(COUNTIF(#REF!,"&lt;&gt;NAN")=0, 0, IF(AND(OR(#REF!=#REF!,#REF!="NAN"), OR(#REF!=#REF!,#REF!="NAN"), OR(#REF!=#REF!,#REF!="NAN")),#REF!, 0))</f>
        <v>#REF!</v>
      </c>
      <c r="E298" t="e">
        <f>IF(#REF!="NAN","",IF(
   AND(OR(#REF!=#REF!,#REF!="NAN"),
     OR(#REF!=#REF!,#REF!="NAN"),
     OR(#REF!=#REF!,#REF!="NAN")),
   1,
   0))</f>
        <v>#REF!</v>
      </c>
      <c r="G298" t="e">
        <f>IF(OR(#REF!="UP",#REF!="DOWN"),1,0)</f>
        <v>#REF!</v>
      </c>
      <c r="H298" t="e">
        <f>IF(OR(#REF!="UP",#REF!="DOWN"),1,0)</f>
        <v>#REF!</v>
      </c>
      <c r="I298" t="e">
        <f>IF(OR(#REF!="UP",#REF!="DOWN"),1,0)</f>
        <v>#REF!</v>
      </c>
      <c r="M298" t="e">
        <f>IF(OR(#REF!="UP",#REF!="DOWN"),0,1)</f>
        <v>#REF!</v>
      </c>
      <c r="N298" t="e">
        <f>IF(OR(#REF!="UP",#REF!="DOWN"),VLOOKUP($C298,Configuración!$H$2:$K$11,3),1)</f>
        <v>#REF!</v>
      </c>
      <c r="O298" t="e">
        <f>IF(OR(#REF!="UP",#REF!="DOWN"),VLOOKUP($C298,Configuración!$H$2:$K$11,4),1)</f>
        <v>#REF!</v>
      </c>
      <c r="P298" t="e">
        <f t="shared" si="43"/>
        <v>#REF!</v>
      </c>
      <c r="Q298" t="e">
        <f t="shared" si="44"/>
        <v>#REF!</v>
      </c>
      <c r="R298" t="e">
        <f t="shared" si="42"/>
        <v>#REF!</v>
      </c>
      <c r="T298" t="e">
        <f>IF(R298&lt;&gt;0,Configuración!$E$2,0)</f>
        <v>#REF!</v>
      </c>
      <c r="U298" t="e">
        <f>IF(R298&lt;&gt;0,Configuración!$F$2,0)</f>
        <v>#REF!</v>
      </c>
      <c r="V298" t="e">
        <f>IF(R298&lt;&gt;0,Configuración!$G$2,0)</f>
        <v>#REF!</v>
      </c>
      <c r="W298" t="e">
        <f t="shared" si="45"/>
        <v>#REF!</v>
      </c>
      <c r="X298" t="e">
        <f t="shared" si="46"/>
        <v>#REF!</v>
      </c>
      <c r="Z298" t="e">
        <f t="shared" si="47"/>
        <v>#REF!</v>
      </c>
      <c r="AB298" t="e">
        <f t="shared" si="48"/>
        <v>#REF!</v>
      </c>
      <c r="AG298" t="e">
        <f t="shared" si="49"/>
        <v>#REF!</v>
      </c>
      <c r="AH298" s="5" t="e">
        <f t="shared" si="50"/>
        <v>#REF!</v>
      </c>
      <c r="AI298" t="e">
        <f t="shared" si="51"/>
        <v>#REF!</v>
      </c>
    </row>
    <row r="299" spans="4:35" x14ac:dyDescent="0.55000000000000004">
      <c r="D299" t="e">
        <f>IF(COUNTIF(#REF!,"&lt;&gt;NAN")=0, 0, IF(AND(OR(#REF!=#REF!,#REF!="NAN"), OR(#REF!=#REF!,#REF!="NAN"), OR(#REF!=#REF!,#REF!="NAN")),#REF!, 0))</f>
        <v>#REF!</v>
      </c>
      <c r="E299" t="e">
        <f>IF(#REF!="NAN","",IF(
   AND(OR(#REF!=#REF!,#REF!="NAN"),
     OR(#REF!=#REF!,#REF!="NAN"),
     OR(#REF!=#REF!,#REF!="NAN")),
   1,
   0))</f>
        <v>#REF!</v>
      </c>
      <c r="G299" t="e">
        <f>IF(OR(#REF!="UP",#REF!="DOWN"),1,0)</f>
        <v>#REF!</v>
      </c>
      <c r="H299" t="e">
        <f>IF(OR(#REF!="UP",#REF!="DOWN"),1,0)</f>
        <v>#REF!</v>
      </c>
      <c r="I299" t="e">
        <f>IF(OR(#REF!="UP",#REF!="DOWN"),1,0)</f>
        <v>#REF!</v>
      </c>
      <c r="M299" t="e">
        <f>IF(OR(#REF!="UP",#REF!="DOWN"),0,1)</f>
        <v>#REF!</v>
      </c>
      <c r="N299" t="e">
        <f>IF(OR(#REF!="UP",#REF!="DOWN"),VLOOKUP($C299,Configuración!$H$2:$K$11,3),1)</f>
        <v>#REF!</v>
      </c>
      <c r="O299" t="e">
        <f>IF(OR(#REF!="UP",#REF!="DOWN"),VLOOKUP($C299,Configuración!$H$2:$K$11,4),1)</f>
        <v>#REF!</v>
      </c>
      <c r="P299" t="e">
        <f t="shared" si="43"/>
        <v>#REF!</v>
      </c>
      <c r="Q299" t="e">
        <f t="shared" si="44"/>
        <v>#REF!</v>
      </c>
      <c r="R299" t="e">
        <f t="shared" si="42"/>
        <v>#REF!</v>
      </c>
      <c r="T299" t="e">
        <f>IF(R299&lt;&gt;0,Configuración!$E$2,0)</f>
        <v>#REF!</v>
      </c>
      <c r="U299" t="e">
        <f>IF(R299&lt;&gt;0,Configuración!$F$2,0)</f>
        <v>#REF!</v>
      </c>
      <c r="V299" t="e">
        <f>IF(R299&lt;&gt;0,Configuración!$G$2,0)</f>
        <v>#REF!</v>
      </c>
      <c r="W299" t="e">
        <f t="shared" si="45"/>
        <v>#REF!</v>
      </c>
      <c r="X299" t="e">
        <f t="shared" si="46"/>
        <v>#REF!</v>
      </c>
      <c r="Z299" t="e">
        <f t="shared" si="47"/>
        <v>#REF!</v>
      </c>
      <c r="AB299" t="e">
        <f t="shared" si="48"/>
        <v>#REF!</v>
      </c>
      <c r="AG299" t="e">
        <f t="shared" si="49"/>
        <v>#REF!</v>
      </c>
      <c r="AH299" s="5" t="e">
        <f t="shared" si="50"/>
        <v>#REF!</v>
      </c>
      <c r="AI299" t="e">
        <f t="shared" si="51"/>
        <v>#REF!</v>
      </c>
    </row>
    <row r="300" spans="4:35" x14ac:dyDescent="0.55000000000000004">
      <c r="D300" t="e">
        <f>IF(COUNTIF(#REF!,"&lt;&gt;NAN")=0, 0, IF(AND(OR(#REF!=#REF!,#REF!="NAN"), OR(#REF!=#REF!,#REF!="NAN"), OR(#REF!=#REF!,#REF!="NAN")),#REF!, 0))</f>
        <v>#REF!</v>
      </c>
      <c r="E300" t="e">
        <f>IF(#REF!="NAN","",IF(
   AND(OR(#REF!=#REF!,#REF!="NAN"),
     OR(#REF!=#REF!,#REF!="NAN"),
     OR(#REF!=#REF!,#REF!="NAN")),
   1,
   0))</f>
        <v>#REF!</v>
      </c>
      <c r="G300" t="e">
        <f>IF(OR(#REF!="UP",#REF!="DOWN"),1,0)</f>
        <v>#REF!</v>
      </c>
      <c r="H300" t="e">
        <f>IF(OR(#REF!="UP",#REF!="DOWN"),1,0)</f>
        <v>#REF!</v>
      </c>
      <c r="I300" t="e">
        <f>IF(OR(#REF!="UP",#REF!="DOWN"),1,0)</f>
        <v>#REF!</v>
      </c>
      <c r="M300" t="e">
        <f>IF(OR(#REF!="UP",#REF!="DOWN"),0,1)</f>
        <v>#REF!</v>
      </c>
      <c r="N300" t="e">
        <f>IF(OR(#REF!="UP",#REF!="DOWN"),VLOOKUP($C300,Configuración!$H$2:$K$11,3),1)</f>
        <v>#REF!</v>
      </c>
      <c r="O300" t="e">
        <f>IF(OR(#REF!="UP",#REF!="DOWN"),VLOOKUP($C300,Configuración!$H$2:$K$11,4),1)</f>
        <v>#REF!</v>
      </c>
      <c r="P300" t="e">
        <f t="shared" si="43"/>
        <v>#REF!</v>
      </c>
      <c r="Q300" t="e">
        <f t="shared" si="44"/>
        <v>#REF!</v>
      </c>
      <c r="R300" t="e">
        <f t="shared" si="42"/>
        <v>#REF!</v>
      </c>
      <c r="T300" t="e">
        <f>IF(R300&lt;&gt;0,Configuración!$E$2,0)</f>
        <v>#REF!</v>
      </c>
      <c r="U300" t="e">
        <f>IF(R300&lt;&gt;0,Configuración!$F$2,0)</f>
        <v>#REF!</v>
      </c>
      <c r="V300" t="e">
        <f>IF(R300&lt;&gt;0,Configuración!$G$2,0)</f>
        <v>#REF!</v>
      </c>
      <c r="W300" t="e">
        <f t="shared" si="45"/>
        <v>#REF!</v>
      </c>
      <c r="X300" t="e">
        <f t="shared" si="46"/>
        <v>#REF!</v>
      </c>
      <c r="Z300" t="e">
        <f t="shared" si="47"/>
        <v>#REF!</v>
      </c>
      <c r="AB300" t="e">
        <f t="shared" si="48"/>
        <v>#REF!</v>
      </c>
      <c r="AG300" t="e">
        <f t="shared" si="49"/>
        <v>#REF!</v>
      </c>
      <c r="AH300" s="5" t="e">
        <f t="shared" si="50"/>
        <v>#REF!</v>
      </c>
      <c r="AI300" t="e">
        <f t="shared" si="51"/>
        <v>#REF!</v>
      </c>
    </row>
    <row r="301" spans="4:35" x14ac:dyDescent="0.55000000000000004">
      <c r="D301" t="e">
        <f>IF(COUNTIF(#REF!,"&lt;&gt;NAN")=0, 0, IF(AND(OR(#REF!=#REF!,#REF!="NAN"), OR(#REF!=#REF!,#REF!="NAN"), OR(#REF!=#REF!,#REF!="NAN")),#REF!, 0))</f>
        <v>#REF!</v>
      </c>
      <c r="E301" t="e">
        <f>IF(#REF!="NAN","",IF(
   AND(OR(#REF!=#REF!,#REF!="NAN"),
     OR(#REF!=#REF!,#REF!="NAN"),
     OR(#REF!=#REF!,#REF!="NAN")),
   1,
   0))</f>
        <v>#REF!</v>
      </c>
      <c r="G301" t="e">
        <f>IF(OR(#REF!="UP",#REF!="DOWN"),1,0)</f>
        <v>#REF!</v>
      </c>
      <c r="H301" t="e">
        <f>IF(OR(#REF!="UP",#REF!="DOWN"),1,0)</f>
        <v>#REF!</v>
      </c>
      <c r="I301" t="e">
        <f>IF(OR(#REF!="UP",#REF!="DOWN"),1,0)</f>
        <v>#REF!</v>
      </c>
      <c r="M301" t="e">
        <f>IF(OR(#REF!="UP",#REF!="DOWN"),0,1)</f>
        <v>#REF!</v>
      </c>
      <c r="N301" t="e">
        <f>IF(OR(#REF!="UP",#REF!="DOWN"),VLOOKUP($C301,Configuración!$H$2:$K$11,3),1)</f>
        <v>#REF!</v>
      </c>
      <c r="O301" t="e">
        <f>IF(OR(#REF!="UP",#REF!="DOWN"),VLOOKUP($C301,Configuración!$H$2:$K$11,4),1)</f>
        <v>#REF!</v>
      </c>
      <c r="P301" t="e">
        <f t="shared" si="43"/>
        <v>#REF!</v>
      </c>
      <c r="Q301" t="e">
        <f t="shared" si="44"/>
        <v>#REF!</v>
      </c>
      <c r="R301" t="e">
        <f t="shared" si="42"/>
        <v>#REF!</v>
      </c>
      <c r="T301" t="e">
        <f>IF(R301&lt;&gt;0,Configuración!$E$2,0)</f>
        <v>#REF!</v>
      </c>
      <c r="U301" t="e">
        <f>IF(R301&lt;&gt;0,Configuración!$F$2,0)</f>
        <v>#REF!</v>
      </c>
      <c r="V301" t="e">
        <f>IF(R301&lt;&gt;0,Configuración!$G$2,0)</f>
        <v>#REF!</v>
      </c>
      <c r="W301" t="e">
        <f t="shared" si="45"/>
        <v>#REF!</v>
      </c>
      <c r="X301" t="e">
        <f t="shared" si="46"/>
        <v>#REF!</v>
      </c>
      <c r="Z301" t="e">
        <f t="shared" si="47"/>
        <v>#REF!</v>
      </c>
      <c r="AB301" t="e">
        <f t="shared" si="48"/>
        <v>#REF!</v>
      </c>
      <c r="AG301" t="e">
        <f t="shared" si="49"/>
        <v>#REF!</v>
      </c>
      <c r="AH301" s="5" t="e">
        <f t="shared" si="50"/>
        <v>#REF!</v>
      </c>
      <c r="AI301" t="e">
        <f t="shared" si="51"/>
        <v>#REF!</v>
      </c>
    </row>
    <row r="302" spans="4:35" x14ac:dyDescent="0.55000000000000004">
      <c r="D302" t="e">
        <f>IF(COUNTIF(#REF!,"&lt;&gt;NAN")=0, 0, IF(AND(OR(#REF!=#REF!,#REF!="NAN"), OR(#REF!=#REF!,#REF!="NAN"), OR(#REF!=#REF!,#REF!="NAN")),#REF!, 0))</f>
        <v>#REF!</v>
      </c>
      <c r="E302" t="e">
        <f>IF(#REF!="NAN","",IF(
   AND(OR(#REF!=#REF!,#REF!="NAN"),
     OR(#REF!=#REF!,#REF!="NAN"),
     OR(#REF!=#REF!,#REF!="NAN")),
   1,
   0))</f>
        <v>#REF!</v>
      </c>
      <c r="G302" t="e">
        <f>IF(OR(#REF!="UP",#REF!="DOWN"),1,0)</f>
        <v>#REF!</v>
      </c>
      <c r="H302" t="e">
        <f>IF(OR(#REF!="UP",#REF!="DOWN"),1,0)</f>
        <v>#REF!</v>
      </c>
      <c r="I302" t="e">
        <f>IF(OR(#REF!="UP",#REF!="DOWN"),1,0)</f>
        <v>#REF!</v>
      </c>
      <c r="M302" t="e">
        <f>IF(OR(#REF!="UP",#REF!="DOWN"),0,1)</f>
        <v>#REF!</v>
      </c>
      <c r="N302" t="e">
        <f>IF(OR(#REF!="UP",#REF!="DOWN"),VLOOKUP($C302,Configuración!$H$2:$K$11,3),1)</f>
        <v>#REF!</v>
      </c>
      <c r="O302" t="e">
        <f>IF(OR(#REF!="UP",#REF!="DOWN"),VLOOKUP($C302,Configuración!$H$2:$K$11,4),1)</f>
        <v>#REF!</v>
      </c>
      <c r="P302" t="e">
        <f t="shared" si="43"/>
        <v>#REF!</v>
      </c>
      <c r="Q302" t="e">
        <f t="shared" si="44"/>
        <v>#REF!</v>
      </c>
      <c r="R302" t="e">
        <f t="shared" si="42"/>
        <v>#REF!</v>
      </c>
      <c r="T302" t="e">
        <f>IF(R302&lt;&gt;0,Configuración!$E$2,0)</f>
        <v>#REF!</v>
      </c>
      <c r="U302" t="e">
        <f>IF(R302&lt;&gt;0,Configuración!$F$2,0)</f>
        <v>#REF!</v>
      </c>
      <c r="V302" t="e">
        <f>IF(R302&lt;&gt;0,Configuración!$G$2,0)</f>
        <v>#REF!</v>
      </c>
      <c r="W302" t="e">
        <f t="shared" si="45"/>
        <v>#REF!</v>
      </c>
      <c r="X302" t="e">
        <f t="shared" si="46"/>
        <v>#REF!</v>
      </c>
      <c r="Z302" t="e">
        <f t="shared" si="47"/>
        <v>#REF!</v>
      </c>
      <c r="AB302" t="e">
        <f t="shared" si="48"/>
        <v>#REF!</v>
      </c>
      <c r="AG302" t="e">
        <f t="shared" si="49"/>
        <v>#REF!</v>
      </c>
      <c r="AH302" s="5" t="e">
        <f t="shared" si="50"/>
        <v>#REF!</v>
      </c>
      <c r="AI302" t="e">
        <f t="shared" si="51"/>
        <v>#REF!</v>
      </c>
    </row>
    <row r="303" spans="4:35" x14ac:dyDescent="0.55000000000000004">
      <c r="D303" t="e">
        <f>IF(COUNTIF(#REF!,"&lt;&gt;NAN")=0, 0, IF(AND(OR(#REF!=#REF!,#REF!="NAN"), OR(#REF!=#REF!,#REF!="NAN"), OR(#REF!=#REF!,#REF!="NAN")),#REF!, 0))</f>
        <v>#REF!</v>
      </c>
      <c r="E303" t="e">
        <f>IF(#REF!="NAN","",IF(
   AND(OR(#REF!=#REF!,#REF!="NAN"),
     OR(#REF!=#REF!,#REF!="NAN"),
     OR(#REF!=#REF!,#REF!="NAN")),
   1,
   0))</f>
        <v>#REF!</v>
      </c>
      <c r="G303" t="e">
        <f>IF(OR(#REF!="UP",#REF!="DOWN"),1,0)</f>
        <v>#REF!</v>
      </c>
      <c r="H303" t="e">
        <f>IF(OR(#REF!="UP",#REF!="DOWN"),1,0)</f>
        <v>#REF!</v>
      </c>
      <c r="I303" t="e">
        <f>IF(OR(#REF!="UP",#REF!="DOWN"),1,0)</f>
        <v>#REF!</v>
      </c>
      <c r="M303" t="e">
        <f>IF(OR(#REF!="UP",#REF!="DOWN"),0,1)</f>
        <v>#REF!</v>
      </c>
      <c r="N303" t="e">
        <f>IF(OR(#REF!="UP",#REF!="DOWN"),VLOOKUP($C303,Configuración!$H$2:$K$11,3),1)</f>
        <v>#REF!</v>
      </c>
      <c r="O303" t="e">
        <f>IF(OR(#REF!="UP",#REF!="DOWN"),VLOOKUP($C303,Configuración!$H$2:$K$11,4),1)</f>
        <v>#REF!</v>
      </c>
      <c r="P303" t="e">
        <f t="shared" si="43"/>
        <v>#REF!</v>
      </c>
      <c r="Q303" t="e">
        <f t="shared" si="44"/>
        <v>#REF!</v>
      </c>
      <c r="R303" t="e">
        <f t="shared" si="42"/>
        <v>#REF!</v>
      </c>
      <c r="T303" t="e">
        <f>IF(R303&lt;&gt;0,Configuración!$E$2,0)</f>
        <v>#REF!</v>
      </c>
      <c r="U303" t="e">
        <f>IF(R303&lt;&gt;0,Configuración!$F$2,0)</f>
        <v>#REF!</v>
      </c>
      <c r="V303" t="e">
        <f>IF(R303&lt;&gt;0,Configuración!$G$2,0)</f>
        <v>#REF!</v>
      </c>
      <c r="W303" t="e">
        <f t="shared" si="45"/>
        <v>#REF!</v>
      </c>
      <c r="X303" t="e">
        <f t="shared" si="46"/>
        <v>#REF!</v>
      </c>
      <c r="Z303" t="e">
        <f t="shared" si="47"/>
        <v>#REF!</v>
      </c>
      <c r="AB303" t="e">
        <f t="shared" si="48"/>
        <v>#REF!</v>
      </c>
      <c r="AG303" t="e">
        <f t="shared" si="49"/>
        <v>#REF!</v>
      </c>
      <c r="AH303" s="5" t="e">
        <f t="shared" si="50"/>
        <v>#REF!</v>
      </c>
      <c r="AI303" t="e">
        <f t="shared" si="51"/>
        <v>#REF!</v>
      </c>
    </row>
    <row r="304" spans="4:35" x14ac:dyDescent="0.55000000000000004">
      <c r="D304" t="e">
        <f>IF(COUNTIF(#REF!,"&lt;&gt;NAN")=0, 0, IF(AND(OR(#REF!=#REF!,#REF!="NAN"), OR(#REF!=#REF!,#REF!="NAN"), OR(#REF!=#REF!,#REF!="NAN")),#REF!, 0))</f>
        <v>#REF!</v>
      </c>
      <c r="E304" t="e">
        <f>IF(#REF!="NAN","",IF(
   AND(OR(#REF!=#REF!,#REF!="NAN"),
     OR(#REF!=#REF!,#REF!="NAN"),
     OR(#REF!=#REF!,#REF!="NAN")),
   1,
   0))</f>
        <v>#REF!</v>
      </c>
      <c r="G304" t="e">
        <f>IF(OR(#REF!="UP",#REF!="DOWN"),1,0)</f>
        <v>#REF!</v>
      </c>
      <c r="H304" t="e">
        <f>IF(OR(#REF!="UP",#REF!="DOWN"),1,0)</f>
        <v>#REF!</v>
      </c>
      <c r="I304" t="e">
        <f>IF(OR(#REF!="UP",#REF!="DOWN"),1,0)</f>
        <v>#REF!</v>
      </c>
      <c r="M304" t="e">
        <f>IF(OR(#REF!="UP",#REF!="DOWN"),0,1)</f>
        <v>#REF!</v>
      </c>
      <c r="N304" t="e">
        <f>IF(OR(#REF!="UP",#REF!="DOWN"),VLOOKUP($C304,Configuración!$H$2:$K$11,3),1)</f>
        <v>#REF!</v>
      </c>
      <c r="O304" t="e">
        <f>IF(OR(#REF!="UP",#REF!="DOWN"),VLOOKUP($C304,Configuración!$H$2:$K$11,4),1)</f>
        <v>#REF!</v>
      </c>
      <c r="P304" t="e">
        <f t="shared" si="43"/>
        <v>#REF!</v>
      </c>
      <c r="Q304" t="e">
        <f t="shared" si="44"/>
        <v>#REF!</v>
      </c>
      <c r="R304" t="e">
        <f t="shared" ref="R304:R367" si="52">IF(AND(OR(D304="UP",D304="DOWN"), Q304&gt;0.9), D304, 0)</f>
        <v>#REF!</v>
      </c>
      <c r="T304" t="e">
        <f>IF(R304&lt;&gt;0,Configuración!$E$2,0)</f>
        <v>#REF!</v>
      </c>
      <c r="U304" t="e">
        <f>IF(R304&lt;&gt;0,Configuración!$F$2,0)</f>
        <v>#REF!</v>
      </c>
      <c r="V304" t="e">
        <f>IF(R304&lt;&gt;0,Configuración!$G$2,0)</f>
        <v>#REF!</v>
      </c>
      <c r="W304" t="e">
        <f t="shared" si="45"/>
        <v>#REF!</v>
      </c>
      <c r="X304" t="e">
        <f t="shared" si="46"/>
        <v>#REF!</v>
      </c>
      <c r="Z304" t="e">
        <f t="shared" si="47"/>
        <v>#REF!</v>
      </c>
      <c r="AB304" t="e">
        <f t="shared" si="48"/>
        <v>#REF!</v>
      </c>
      <c r="AG304" t="e">
        <f t="shared" si="49"/>
        <v>#REF!</v>
      </c>
      <c r="AH304" s="5" t="e">
        <f t="shared" si="50"/>
        <v>#REF!</v>
      </c>
      <c r="AI304" t="e">
        <f t="shared" si="51"/>
        <v>#REF!</v>
      </c>
    </row>
    <row r="305" spans="4:35" x14ac:dyDescent="0.55000000000000004">
      <c r="D305" t="e">
        <f>IF(COUNTIF(#REF!,"&lt;&gt;NAN")=0, 0, IF(AND(OR(#REF!=#REF!,#REF!="NAN"), OR(#REF!=#REF!,#REF!="NAN"), OR(#REF!=#REF!,#REF!="NAN")),#REF!, 0))</f>
        <v>#REF!</v>
      </c>
      <c r="E305" t="e">
        <f>IF(#REF!="NAN","",IF(
   AND(OR(#REF!=#REF!,#REF!="NAN"),
     OR(#REF!=#REF!,#REF!="NAN"),
     OR(#REF!=#REF!,#REF!="NAN")),
   1,
   0))</f>
        <v>#REF!</v>
      </c>
      <c r="G305" t="e">
        <f>IF(OR(#REF!="UP",#REF!="DOWN"),1,0)</f>
        <v>#REF!</v>
      </c>
      <c r="H305" t="e">
        <f>IF(OR(#REF!="UP",#REF!="DOWN"),1,0)</f>
        <v>#REF!</v>
      </c>
      <c r="I305" t="e">
        <f>IF(OR(#REF!="UP",#REF!="DOWN"),1,0)</f>
        <v>#REF!</v>
      </c>
      <c r="M305" t="e">
        <f>IF(OR(#REF!="UP",#REF!="DOWN"),0,1)</f>
        <v>#REF!</v>
      </c>
      <c r="N305" t="e">
        <f>IF(OR(#REF!="UP",#REF!="DOWN"),VLOOKUP($C305,Configuración!$H$2:$K$11,3),1)</f>
        <v>#REF!</v>
      </c>
      <c r="O305" t="e">
        <f>IF(OR(#REF!="UP",#REF!="DOWN"),VLOOKUP($C305,Configuración!$H$2:$K$11,4),1)</f>
        <v>#REF!</v>
      </c>
      <c r="P305" t="e">
        <f t="shared" si="43"/>
        <v>#REF!</v>
      </c>
      <c r="Q305" t="e">
        <f t="shared" si="44"/>
        <v>#REF!</v>
      </c>
      <c r="R305" t="e">
        <f t="shared" si="52"/>
        <v>#REF!</v>
      </c>
      <c r="T305" t="e">
        <f>IF(R305&lt;&gt;0,Configuración!$E$2,0)</f>
        <v>#REF!</v>
      </c>
      <c r="U305" t="e">
        <f>IF(R305&lt;&gt;0,Configuración!$F$2,0)</f>
        <v>#REF!</v>
      </c>
      <c r="V305" t="e">
        <f>IF(R305&lt;&gt;0,Configuración!$G$2,0)</f>
        <v>#REF!</v>
      </c>
      <c r="W305" t="e">
        <f t="shared" si="45"/>
        <v>#REF!</v>
      </c>
      <c r="X305" t="e">
        <f t="shared" si="46"/>
        <v>#REF!</v>
      </c>
      <c r="Z305" t="e">
        <f t="shared" si="47"/>
        <v>#REF!</v>
      </c>
      <c r="AB305" t="e">
        <f t="shared" si="48"/>
        <v>#REF!</v>
      </c>
      <c r="AG305" t="e">
        <f t="shared" si="49"/>
        <v>#REF!</v>
      </c>
      <c r="AH305" s="5" t="e">
        <f t="shared" si="50"/>
        <v>#REF!</v>
      </c>
      <c r="AI305" t="e">
        <f t="shared" si="51"/>
        <v>#REF!</v>
      </c>
    </row>
    <row r="306" spans="4:35" x14ac:dyDescent="0.55000000000000004">
      <c r="D306" t="e">
        <f>IF(COUNTIF(#REF!,"&lt;&gt;NAN")=0, 0, IF(AND(OR(#REF!=#REF!,#REF!="NAN"), OR(#REF!=#REF!,#REF!="NAN"), OR(#REF!=#REF!,#REF!="NAN")),#REF!, 0))</f>
        <v>#REF!</v>
      </c>
      <c r="E306" t="e">
        <f>IF(#REF!="NAN","",IF(
   AND(OR(#REF!=#REF!,#REF!="NAN"),
     OR(#REF!=#REF!,#REF!="NAN"),
     OR(#REF!=#REF!,#REF!="NAN")),
   1,
   0))</f>
        <v>#REF!</v>
      </c>
      <c r="G306" t="e">
        <f>IF(OR(#REF!="UP",#REF!="DOWN"),1,0)</f>
        <v>#REF!</v>
      </c>
      <c r="H306" t="e">
        <f>IF(OR(#REF!="UP",#REF!="DOWN"),1,0)</f>
        <v>#REF!</v>
      </c>
      <c r="I306" t="e">
        <f>IF(OR(#REF!="UP",#REF!="DOWN"),1,0)</f>
        <v>#REF!</v>
      </c>
      <c r="M306" t="e">
        <f>IF(OR(#REF!="UP",#REF!="DOWN"),0,1)</f>
        <v>#REF!</v>
      </c>
      <c r="N306" t="e">
        <f>IF(OR(#REF!="UP",#REF!="DOWN"),VLOOKUP($C306,Configuración!$H$2:$K$11,3),1)</f>
        <v>#REF!</v>
      </c>
      <c r="O306" t="e">
        <f>IF(OR(#REF!="UP",#REF!="DOWN"),VLOOKUP($C306,Configuración!$H$2:$K$11,4),1)</f>
        <v>#REF!</v>
      </c>
      <c r="P306" t="e">
        <f t="shared" si="43"/>
        <v>#REF!</v>
      </c>
      <c r="Q306" t="e">
        <f t="shared" si="44"/>
        <v>#REF!</v>
      </c>
      <c r="R306" t="e">
        <f t="shared" si="52"/>
        <v>#REF!</v>
      </c>
      <c r="T306" t="e">
        <f>IF(R306&lt;&gt;0,Configuración!$E$2,0)</f>
        <v>#REF!</v>
      </c>
      <c r="U306" t="e">
        <f>IF(R306&lt;&gt;0,Configuración!$F$2,0)</f>
        <v>#REF!</v>
      </c>
      <c r="V306" t="e">
        <f>IF(R306&lt;&gt;0,Configuración!$G$2,0)</f>
        <v>#REF!</v>
      </c>
      <c r="W306" t="e">
        <f t="shared" si="45"/>
        <v>#REF!</v>
      </c>
      <c r="X306" t="e">
        <f t="shared" si="46"/>
        <v>#REF!</v>
      </c>
      <c r="Z306" t="e">
        <f t="shared" si="47"/>
        <v>#REF!</v>
      </c>
      <c r="AB306" t="e">
        <f t="shared" si="48"/>
        <v>#REF!</v>
      </c>
      <c r="AG306" t="e">
        <f t="shared" si="49"/>
        <v>#REF!</v>
      </c>
      <c r="AH306" s="5" t="e">
        <f t="shared" si="50"/>
        <v>#REF!</v>
      </c>
      <c r="AI306" t="e">
        <f t="shared" si="51"/>
        <v>#REF!</v>
      </c>
    </row>
    <row r="307" spans="4:35" x14ac:dyDescent="0.55000000000000004">
      <c r="D307" t="e">
        <f>IF(COUNTIF(#REF!,"&lt;&gt;NAN")=0, 0, IF(AND(OR(#REF!=#REF!,#REF!="NAN"), OR(#REF!=#REF!,#REF!="NAN"), OR(#REF!=#REF!,#REF!="NAN")),#REF!, 0))</f>
        <v>#REF!</v>
      </c>
      <c r="E307" t="e">
        <f>IF(#REF!="NAN","",IF(
   AND(OR(#REF!=#REF!,#REF!="NAN"),
     OR(#REF!=#REF!,#REF!="NAN"),
     OR(#REF!=#REF!,#REF!="NAN")),
   1,
   0))</f>
        <v>#REF!</v>
      </c>
      <c r="G307" t="e">
        <f>IF(OR(#REF!="UP",#REF!="DOWN"),1,0)</f>
        <v>#REF!</v>
      </c>
      <c r="H307" t="e">
        <f>IF(OR(#REF!="UP",#REF!="DOWN"),1,0)</f>
        <v>#REF!</v>
      </c>
      <c r="I307" t="e">
        <f>IF(OR(#REF!="UP",#REF!="DOWN"),1,0)</f>
        <v>#REF!</v>
      </c>
      <c r="M307" t="e">
        <f>IF(OR(#REF!="UP",#REF!="DOWN"),0,1)</f>
        <v>#REF!</v>
      </c>
      <c r="N307" t="e">
        <f>IF(OR(#REF!="UP",#REF!="DOWN"),VLOOKUP($C307,Configuración!$H$2:$K$11,3),1)</f>
        <v>#REF!</v>
      </c>
      <c r="O307" t="e">
        <f>IF(OR(#REF!="UP",#REF!="DOWN"),VLOOKUP($C307,Configuración!$H$2:$K$11,4),1)</f>
        <v>#REF!</v>
      </c>
      <c r="P307" t="e">
        <f t="shared" si="43"/>
        <v>#REF!</v>
      </c>
      <c r="Q307" t="e">
        <f t="shared" si="44"/>
        <v>#REF!</v>
      </c>
      <c r="R307" t="e">
        <f t="shared" si="52"/>
        <v>#REF!</v>
      </c>
      <c r="T307" t="e">
        <f>IF(R307&lt;&gt;0,Configuración!$E$2,0)</f>
        <v>#REF!</v>
      </c>
      <c r="U307" t="e">
        <f>IF(R307&lt;&gt;0,Configuración!$F$2,0)</f>
        <v>#REF!</v>
      </c>
      <c r="V307" t="e">
        <f>IF(R307&lt;&gt;0,Configuración!$G$2,0)</f>
        <v>#REF!</v>
      </c>
      <c r="W307" t="e">
        <f t="shared" si="45"/>
        <v>#REF!</v>
      </c>
      <c r="X307" t="e">
        <f t="shared" si="46"/>
        <v>#REF!</v>
      </c>
      <c r="Z307" t="e">
        <f t="shared" si="47"/>
        <v>#REF!</v>
      </c>
      <c r="AB307" t="e">
        <f t="shared" si="48"/>
        <v>#REF!</v>
      </c>
      <c r="AG307" t="e">
        <f t="shared" si="49"/>
        <v>#REF!</v>
      </c>
      <c r="AH307" s="5" t="e">
        <f t="shared" si="50"/>
        <v>#REF!</v>
      </c>
      <c r="AI307" t="e">
        <f t="shared" si="51"/>
        <v>#REF!</v>
      </c>
    </row>
    <row r="308" spans="4:35" x14ac:dyDescent="0.55000000000000004">
      <c r="D308" t="e">
        <f>IF(COUNTIF(#REF!,"&lt;&gt;NAN")=0, 0, IF(AND(OR(#REF!=#REF!,#REF!="NAN"), OR(#REF!=#REF!,#REF!="NAN"), OR(#REF!=#REF!,#REF!="NAN")),#REF!, 0))</f>
        <v>#REF!</v>
      </c>
      <c r="E308" t="e">
        <f>IF(#REF!="NAN","",IF(
   AND(OR(#REF!=#REF!,#REF!="NAN"),
     OR(#REF!=#REF!,#REF!="NAN"),
     OR(#REF!=#REF!,#REF!="NAN")),
   1,
   0))</f>
        <v>#REF!</v>
      </c>
      <c r="G308" t="e">
        <f>IF(OR(#REF!="UP",#REF!="DOWN"),1,0)</f>
        <v>#REF!</v>
      </c>
      <c r="H308" t="e">
        <f>IF(OR(#REF!="UP",#REF!="DOWN"),1,0)</f>
        <v>#REF!</v>
      </c>
      <c r="I308" t="e">
        <f>IF(OR(#REF!="UP",#REF!="DOWN"),1,0)</f>
        <v>#REF!</v>
      </c>
      <c r="M308" t="e">
        <f>IF(OR(#REF!="UP",#REF!="DOWN"),0,1)</f>
        <v>#REF!</v>
      </c>
      <c r="N308" t="e">
        <f>IF(OR(#REF!="UP",#REF!="DOWN"),VLOOKUP($C308,Configuración!$H$2:$K$11,3),1)</f>
        <v>#REF!</v>
      </c>
      <c r="O308" t="e">
        <f>IF(OR(#REF!="UP",#REF!="DOWN"),VLOOKUP($C308,Configuración!$H$2:$K$11,4),1)</f>
        <v>#REF!</v>
      </c>
      <c r="P308" t="e">
        <f t="shared" si="43"/>
        <v>#REF!</v>
      </c>
      <c r="Q308" t="e">
        <f t="shared" si="44"/>
        <v>#REF!</v>
      </c>
      <c r="R308" t="e">
        <f t="shared" si="52"/>
        <v>#REF!</v>
      </c>
      <c r="T308" t="e">
        <f>IF(R308&lt;&gt;0,Configuración!$E$2,0)</f>
        <v>#REF!</v>
      </c>
      <c r="U308" t="e">
        <f>IF(R308&lt;&gt;0,Configuración!$F$2,0)</f>
        <v>#REF!</v>
      </c>
      <c r="V308" t="e">
        <f>IF(R308&lt;&gt;0,Configuración!$G$2,0)</f>
        <v>#REF!</v>
      </c>
      <c r="W308" t="e">
        <f t="shared" si="45"/>
        <v>#REF!</v>
      </c>
      <c r="X308" t="e">
        <f t="shared" si="46"/>
        <v>#REF!</v>
      </c>
      <c r="Z308" t="e">
        <f t="shared" si="47"/>
        <v>#REF!</v>
      </c>
      <c r="AB308" t="e">
        <f t="shared" si="48"/>
        <v>#REF!</v>
      </c>
      <c r="AG308" t="e">
        <f t="shared" si="49"/>
        <v>#REF!</v>
      </c>
      <c r="AH308" s="5" t="e">
        <f t="shared" si="50"/>
        <v>#REF!</v>
      </c>
      <c r="AI308" t="e">
        <f t="shared" si="51"/>
        <v>#REF!</v>
      </c>
    </row>
    <row r="309" spans="4:35" x14ac:dyDescent="0.55000000000000004">
      <c r="D309" t="e">
        <f>IF(COUNTIF(#REF!,"&lt;&gt;NAN")=0, 0, IF(AND(OR(#REF!=#REF!,#REF!="NAN"), OR(#REF!=#REF!,#REF!="NAN"), OR(#REF!=#REF!,#REF!="NAN")),#REF!, 0))</f>
        <v>#REF!</v>
      </c>
      <c r="E309" t="e">
        <f>IF(#REF!="NAN","",IF(
   AND(OR(#REF!=#REF!,#REF!="NAN"),
     OR(#REF!=#REF!,#REF!="NAN"),
     OR(#REF!=#REF!,#REF!="NAN")),
   1,
   0))</f>
        <v>#REF!</v>
      </c>
      <c r="G309" t="e">
        <f>IF(OR(#REF!="UP",#REF!="DOWN"),1,0)</f>
        <v>#REF!</v>
      </c>
      <c r="H309" t="e">
        <f>IF(OR(#REF!="UP",#REF!="DOWN"),1,0)</f>
        <v>#REF!</v>
      </c>
      <c r="I309" t="e">
        <f>IF(OR(#REF!="UP",#REF!="DOWN"),1,0)</f>
        <v>#REF!</v>
      </c>
      <c r="M309" t="e">
        <f>IF(OR(#REF!="UP",#REF!="DOWN"),0,1)</f>
        <v>#REF!</v>
      </c>
      <c r="N309" t="e">
        <f>IF(OR(#REF!="UP",#REF!="DOWN"),VLOOKUP($C309,Configuración!$H$2:$K$11,3),1)</f>
        <v>#REF!</v>
      </c>
      <c r="O309" t="e">
        <f>IF(OR(#REF!="UP",#REF!="DOWN"),VLOOKUP($C309,Configuración!$H$2:$K$11,4),1)</f>
        <v>#REF!</v>
      </c>
      <c r="P309" t="e">
        <f t="shared" si="43"/>
        <v>#REF!</v>
      </c>
      <c r="Q309" t="e">
        <f t="shared" si="44"/>
        <v>#REF!</v>
      </c>
      <c r="R309" t="e">
        <f t="shared" si="52"/>
        <v>#REF!</v>
      </c>
      <c r="T309" t="e">
        <f>IF(R309&lt;&gt;0,Configuración!$E$2,0)</f>
        <v>#REF!</v>
      </c>
      <c r="U309" t="e">
        <f>IF(R309&lt;&gt;0,Configuración!$F$2,0)</f>
        <v>#REF!</v>
      </c>
      <c r="V309" t="e">
        <f>IF(R309&lt;&gt;0,Configuración!$G$2,0)</f>
        <v>#REF!</v>
      </c>
      <c r="W309" t="e">
        <f t="shared" si="45"/>
        <v>#REF!</v>
      </c>
      <c r="X309" t="e">
        <f t="shared" si="46"/>
        <v>#REF!</v>
      </c>
      <c r="Z309" t="e">
        <f t="shared" si="47"/>
        <v>#REF!</v>
      </c>
      <c r="AB309" t="e">
        <f t="shared" si="48"/>
        <v>#REF!</v>
      </c>
      <c r="AG309" t="e">
        <f t="shared" si="49"/>
        <v>#REF!</v>
      </c>
      <c r="AH309" s="5" t="e">
        <f t="shared" si="50"/>
        <v>#REF!</v>
      </c>
      <c r="AI309" t="e">
        <f t="shared" si="51"/>
        <v>#REF!</v>
      </c>
    </row>
    <row r="310" spans="4:35" x14ac:dyDescent="0.55000000000000004">
      <c r="D310" t="e">
        <f>IF(COUNTIF(#REF!,"&lt;&gt;NAN")=0, 0, IF(AND(OR(#REF!=#REF!,#REF!="NAN"), OR(#REF!=#REF!,#REF!="NAN"), OR(#REF!=#REF!,#REF!="NAN")),#REF!, 0))</f>
        <v>#REF!</v>
      </c>
      <c r="E310" t="e">
        <f>IF(#REF!="NAN","",IF(
   AND(OR(#REF!=#REF!,#REF!="NAN"),
     OR(#REF!=#REF!,#REF!="NAN"),
     OR(#REF!=#REF!,#REF!="NAN")),
   1,
   0))</f>
        <v>#REF!</v>
      </c>
      <c r="G310" t="e">
        <f>IF(OR(#REF!="UP",#REF!="DOWN"),1,0)</f>
        <v>#REF!</v>
      </c>
      <c r="H310" t="e">
        <f>IF(OR(#REF!="UP",#REF!="DOWN"),1,0)</f>
        <v>#REF!</v>
      </c>
      <c r="I310" t="e">
        <f>IF(OR(#REF!="UP",#REF!="DOWN"),1,0)</f>
        <v>#REF!</v>
      </c>
      <c r="M310" t="e">
        <f>IF(OR(#REF!="UP",#REF!="DOWN"),0,1)</f>
        <v>#REF!</v>
      </c>
      <c r="N310" t="e">
        <f>IF(OR(#REF!="UP",#REF!="DOWN"),VLOOKUP($C310,Configuración!$H$2:$K$11,3),1)</f>
        <v>#REF!</v>
      </c>
      <c r="O310" t="e">
        <f>IF(OR(#REF!="UP",#REF!="DOWN"),VLOOKUP($C310,Configuración!$H$2:$K$11,4),1)</f>
        <v>#REF!</v>
      </c>
      <c r="P310" t="e">
        <f t="shared" si="43"/>
        <v>#REF!</v>
      </c>
      <c r="Q310" t="e">
        <f t="shared" si="44"/>
        <v>#REF!</v>
      </c>
      <c r="R310" t="e">
        <f t="shared" si="52"/>
        <v>#REF!</v>
      </c>
      <c r="T310" t="e">
        <f>IF(R310&lt;&gt;0,Configuración!$E$2,0)</f>
        <v>#REF!</v>
      </c>
      <c r="U310" t="e">
        <f>IF(R310&lt;&gt;0,Configuración!$F$2,0)</f>
        <v>#REF!</v>
      </c>
      <c r="V310" t="e">
        <f>IF(R310&lt;&gt;0,Configuración!$G$2,0)</f>
        <v>#REF!</v>
      </c>
      <c r="W310" t="e">
        <f t="shared" si="45"/>
        <v>#REF!</v>
      </c>
      <c r="X310" t="e">
        <f t="shared" si="46"/>
        <v>#REF!</v>
      </c>
      <c r="Z310" t="e">
        <f t="shared" si="47"/>
        <v>#REF!</v>
      </c>
      <c r="AB310" t="e">
        <f t="shared" si="48"/>
        <v>#REF!</v>
      </c>
      <c r="AG310" t="e">
        <f t="shared" si="49"/>
        <v>#REF!</v>
      </c>
      <c r="AH310" s="5" t="e">
        <f t="shared" si="50"/>
        <v>#REF!</v>
      </c>
      <c r="AI310" t="e">
        <f t="shared" si="51"/>
        <v>#REF!</v>
      </c>
    </row>
    <row r="311" spans="4:35" x14ac:dyDescent="0.55000000000000004">
      <c r="D311" t="e">
        <f>IF(COUNTIF(#REF!,"&lt;&gt;NAN")=0, 0, IF(AND(OR(#REF!=#REF!,#REF!="NAN"), OR(#REF!=#REF!,#REF!="NAN"), OR(#REF!=#REF!,#REF!="NAN")),#REF!, 0))</f>
        <v>#REF!</v>
      </c>
      <c r="E311" t="e">
        <f>IF(#REF!="NAN","",IF(
   AND(OR(#REF!=#REF!,#REF!="NAN"),
     OR(#REF!=#REF!,#REF!="NAN"),
     OR(#REF!=#REF!,#REF!="NAN")),
   1,
   0))</f>
        <v>#REF!</v>
      </c>
      <c r="G311" t="e">
        <f>IF(OR(#REF!="UP",#REF!="DOWN"),1,0)</f>
        <v>#REF!</v>
      </c>
      <c r="H311" t="e">
        <f>IF(OR(#REF!="UP",#REF!="DOWN"),1,0)</f>
        <v>#REF!</v>
      </c>
      <c r="I311" t="e">
        <f>IF(OR(#REF!="UP",#REF!="DOWN"),1,0)</f>
        <v>#REF!</v>
      </c>
      <c r="M311" t="e">
        <f>IF(OR(#REF!="UP",#REF!="DOWN"),0,1)</f>
        <v>#REF!</v>
      </c>
      <c r="N311" t="e">
        <f>IF(OR(#REF!="UP",#REF!="DOWN"),VLOOKUP($C311,Configuración!$H$2:$K$11,3),1)</f>
        <v>#REF!</v>
      </c>
      <c r="O311" t="e">
        <f>IF(OR(#REF!="UP",#REF!="DOWN"),VLOOKUP($C311,Configuración!$H$2:$K$11,4),1)</f>
        <v>#REF!</v>
      </c>
      <c r="P311" t="e">
        <f t="shared" si="43"/>
        <v>#REF!</v>
      </c>
      <c r="Q311" t="e">
        <f t="shared" si="44"/>
        <v>#REF!</v>
      </c>
      <c r="R311" t="e">
        <f t="shared" si="52"/>
        <v>#REF!</v>
      </c>
      <c r="T311" t="e">
        <f>IF(R311&lt;&gt;0,Configuración!$E$2,0)</f>
        <v>#REF!</v>
      </c>
      <c r="U311" t="e">
        <f>IF(R311&lt;&gt;0,Configuración!$F$2,0)</f>
        <v>#REF!</v>
      </c>
      <c r="V311" t="e">
        <f>IF(R311&lt;&gt;0,Configuración!$G$2,0)</f>
        <v>#REF!</v>
      </c>
      <c r="W311" t="e">
        <f t="shared" si="45"/>
        <v>#REF!</v>
      </c>
      <c r="X311" t="e">
        <f t="shared" si="46"/>
        <v>#REF!</v>
      </c>
      <c r="Z311" t="e">
        <f t="shared" si="47"/>
        <v>#REF!</v>
      </c>
      <c r="AB311" t="e">
        <f t="shared" si="48"/>
        <v>#REF!</v>
      </c>
      <c r="AG311" t="e">
        <f t="shared" si="49"/>
        <v>#REF!</v>
      </c>
      <c r="AH311" s="5" t="e">
        <f t="shared" si="50"/>
        <v>#REF!</v>
      </c>
      <c r="AI311" t="e">
        <f t="shared" si="51"/>
        <v>#REF!</v>
      </c>
    </row>
    <row r="312" spans="4:35" x14ac:dyDescent="0.55000000000000004">
      <c r="D312" t="e">
        <f>IF(COUNTIF(#REF!,"&lt;&gt;NAN")=0, 0, IF(AND(OR(#REF!=#REF!,#REF!="NAN"), OR(#REF!=#REF!,#REF!="NAN"), OR(#REF!=#REF!,#REF!="NAN")),#REF!, 0))</f>
        <v>#REF!</v>
      </c>
      <c r="E312" t="e">
        <f>IF(#REF!="NAN","",IF(
   AND(OR(#REF!=#REF!,#REF!="NAN"),
     OR(#REF!=#REF!,#REF!="NAN"),
     OR(#REF!=#REF!,#REF!="NAN")),
   1,
   0))</f>
        <v>#REF!</v>
      </c>
      <c r="G312" t="e">
        <f>IF(OR(#REF!="UP",#REF!="DOWN"),1,0)</f>
        <v>#REF!</v>
      </c>
      <c r="H312" t="e">
        <f>IF(OR(#REF!="UP",#REF!="DOWN"),1,0)</f>
        <v>#REF!</v>
      </c>
      <c r="I312" t="e">
        <f>IF(OR(#REF!="UP",#REF!="DOWN"),1,0)</f>
        <v>#REF!</v>
      </c>
      <c r="M312" t="e">
        <f>IF(OR(#REF!="UP",#REF!="DOWN"),0,1)</f>
        <v>#REF!</v>
      </c>
      <c r="N312" t="e">
        <f>IF(OR(#REF!="UP",#REF!="DOWN"),VLOOKUP($C312,Configuración!$H$2:$K$11,3),1)</f>
        <v>#REF!</v>
      </c>
      <c r="O312" t="e">
        <f>IF(OR(#REF!="UP",#REF!="DOWN"),VLOOKUP($C312,Configuración!$H$2:$K$11,4),1)</f>
        <v>#REF!</v>
      </c>
      <c r="P312" t="e">
        <f t="shared" si="43"/>
        <v>#REF!</v>
      </c>
      <c r="Q312" t="e">
        <f t="shared" si="44"/>
        <v>#REF!</v>
      </c>
      <c r="R312" t="e">
        <f t="shared" si="52"/>
        <v>#REF!</v>
      </c>
      <c r="T312" t="e">
        <f>IF(R312&lt;&gt;0,Configuración!$E$2,0)</f>
        <v>#REF!</v>
      </c>
      <c r="U312" t="e">
        <f>IF(R312&lt;&gt;0,Configuración!$F$2,0)</f>
        <v>#REF!</v>
      </c>
      <c r="V312" t="e">
        <f>IF(R312&lt;&gt;0,Configuración!$G$2,0)</f>
        <v>#REF!</v>
      </c>
      <c r="W312" t="e">
        <f t="shared" si="45"/>
        <v>#REF!</v>
      </c>
      <c r="X312" t="e">
        <f t="shared" si="46"/>
        <v>#REF!</v>
      </c>
      <c r="Z312" t="e">
        <f t="shared" si="47"/>
        <v>#REF!</v>
      </c>
      <c r="AB312" t="e">
        <f t="shared" si="48"/>
        <v>#REF!</v>
      </c>
      <c r="AG312" t="e">
        <f t="shared" si="49"/>
        <v>#REF!</v>
      </c>
      <c r="AH312" s="5" t="e">
        <f t="shared" si="50"/>
        <v>#REF!</v>
      </c>
      <c r="AI312" t="e">
        <f t="shared" si="51"/>
        <v>#REF!</v>
      </c>
    </row>
    <row r="313" spans="4:35" x14ac:dyDescent="0.55000000000000004">
      <c r="D313" t="e">
        <f>IF(COUNTIF(#REF!,"&lt;&gt;NAN")=0, 0, IF(AND(OR(#REF!=#REF!,#REF!="NAN"), OR(#REF!=#REF!,#REF!="NAN"), OR(#REF!=#REF!,#REF!="NAN")),#REF!, 0))</f>
        <v>#REF!</v>
      </c>
      <c r="E313" t="e">
        <f>IF(#REF!="NAN","",IF(
   AND(OR(#REF!=#REF!,#REF!="NAN"),
     OR(#REF!=#REF!,#REF!="NAN"),
     OR(#REF!=#REF!,#REF!="NAN")),
   1,
   0))</f>
        <v>#REF!</v>
      </c>
      <c r="G313" t="e">
        <f>IF(OR(#REF!="UP",#REF!="DOWN"),1,0)</f>
        <v>#REF!</v>
      </c>
      <c r="H313" t="e">
        <f>IF(OR(#REF!="UP",#REF!="DOWN"),1,0)</f>
        <v>#REF!</v>
      </c>
      <c r="I313" t="e">
        <f>IF(OR(#REF!="UP",#REF!="DOWN"),1,0)</f>
        <v>#REF!</v>
      </c>
      <c r="M313" t="e">
        <f>IF(OR(#REF!="UP",#REF!="DOWN"),0,1)</f>
        <v>#REF!</v>
      </c>
      <c r="N313" t="e">
        <f>IF(OR(#REF!="UP",#REF!="DOWN"),VLOOKUP($C313,Configuración!$H$2:$K$11,3),1)</f>
        <v>#REF!</v>
      </c>
      <c r="O313" t="e">
        <f>IF(OR(#REF!="UP",#REF!="DOWN"),VLOOKUP($C313,Configuración!$H$2:$K$11,4),1)</f>
        <v>#REF!</v>
      </c>
      <c r="P313" t="e">
        <f t="shared" si="43"/>
        <v>#REF!</v>
      </c>
      <c r="Q313" t="e">
        <f t="shared" si="44"/>
        <v>#REF!</v>
      </c>
      <c r="R313" t="e">
        <f t="shared" si="52"/>
        <v>#REF!</v>
      </c>
      <c r="T313" t="e">
        <f>IF(R313&lt;&gt;0,Configuración!$E$2,0)</f>
        <v>#REF!</v>
      </c>
      <c r="U313" t="e">
        <f>IF(R313&lt;&gt;0,Configuración!$F$2,0)</f>
        <v>#REF!</v>
      </c>
      <c r="V313" t="e">
        <f>IF(R313&lt;&gt;0,Configuración!$G$2,0)</f>
        <v>#REF!</v>
      </c>
      <c r="W313" t="e">
        <f t="shared" si="45"/>
        <v>#REF!</v>
      </c>
      <c r="X313" t="e">
        <f t="shared" si="46"/>
        <v>#REF!</v>
      </c>
      <c r="Z313" t="e">
        <f t="shared" si="47"/>
        <v>#REF!</v>
      </c>
      <c r="AB313" t="e">
        <f t="shared" si="48"/>
        <v>#REF!</v>
      </c>
      <c r="AG313" t="e">
        <f t="shared" si="49"/>
        <v>#REF!</v>
      </c>
      <c r="AH313" s="5" t="e">
        <f t="shared" si="50"/>
        <v>#REF!</v>
      </c>
      <c r="AI313" t="e">
        <f t="shared" si="51"/>
        <v>#REF!</v>
      </c>
    </row>
    <row r="314" spans="4:35" x14ac:dyDescent="0.55000000000000004">
      <c r="D314" t="e">
        <f>IF(COUNTIF(#REF!,"&lt;&gt;NAN")=0, 0, IF(AND(OR(#REF!=#REF!,#REF!="NAN"), OR(#REF!=#REF!,#REF!="NAN"), OR(#REF!=#REF!,#REF!="NAN")),#REF!, 0))</f>
        <v>#REF!</v>
      </c>
      <c r="E314" t="e">
        <f>IF(#REF!="NAN","",IF(
   AND(OR(#REF!=#REF!,#REF!="NAN"),
     OR(#REF!=#REF!,#REF!="NAN"),
     OR(#REF!=#REF!,#REF!="NAN")),
   1,
   0))</f>
        <v>#REF!</v>
      </c>
      <c r="G314" t="e">
        <f>IF(OR(#REF!="UP",#REF!="DOWN"),1,0)</f>
        <v>#REF!</v>
      </c>
      <c r="H314" t="e">
        <f>IF(OR(#REF!="UP",#REF!="DOWN"),1,0)</f>
        <v>#REF!</v>
      </c>
      <c r="I314" t="e">
        <f>IF(OR(#REF!="UP",#REF!="DOWN"),1,0)</f>
        <v>#REF!</v>
      </c>
      <c r="M314" t="e">
        <f>IF(OR(#REF!="UP",#REF!="DOWN"),0,1)</f>
        <v>#REF!</v>
      </c>
      <c r="N314" t="e">
        <f>IF(OR(#REF!="UP",#REF!="DOWN"),VLOOKUP($C314,Configuración!$H$2:$K$11,3),1)</f>
        <v>#REF!</v>
      </c>
      <c r="O314" t="e">
        <f>IF(OR(#REF!="UP",#REF!="DOWN"),VLOOKUP($C314,Configuración!$H$2:$K$11,4),1)</f>
        <v>#REF!</v>
      </c>
      <c r="P314" t="e">
        <f t="shared" si="43"/>
        <v>#REF!</v>
      </c>
      <c r="Q314" t="e">
        <f t="shared" si="44"/>
        <v>#REF!</v>
      </c>
      <c r="R314" t="e">
        <f t="shared" si="52"/>
        <v>#REF!</v>
      </c>
      <c r="T314" t="e">
        <f>IF(R314&lt;&gt;0,Configuración!$E$2,0)</f>
        <v>#REF!</v>
      </c>
      <c r="U314" t="e">
        <f>IF(R314&lt;&gt;0,Configuración!$F$2,0)</f>
        <v>#REF!</v>
      </c>
      <c r="V314" t="e">
        <f>IF(R314&lt;&gt;0,Configuración!$G$2,0)</f>
        <v>#REF!</v>
      </c>
      <c r="W314" t="e">
        <f t="shared" si="45"/>
        <v>#REF!</v>
      </c>
      <c r="X314" t="e">
        <f t="shared" si="46"/>
        <v>#REF!</v>
      </c>
      <c r="Z314" t="e">
        <f t="shared" si="47"/>
        <v>#REF!</v>
      </c>
      <c r="AB314" t="e">
        <f t="shared" si="48"/>
        <v>#REF!</v>
      </c>
      <c r="AG314" t="e">
        <f t="shared" si="49"/>
        <v>#REF!</v>
      </c>
      <c r="AH314" s="5" t="e">
        <f t="shared" si="50"/>
        <v>#REF!</v>
      </c>
      <c r="AI314" t="e">
        <f t="shared" si="51"/>
        <v>#REF!</v>
      </c>
    </row>
    <row r="315" spans="4:35" x14ac:dyDescent="0.55000000000000004">
      <c r="D315" t="e">
        <f>IF(COUNTIF(#REF!,"&lt;&gt;NAN")=0, 0, IF(AND(OR(#REF!=#REF!,#REF!="NAN"), OR(#REF!=#REF!,#REF!="NAN"), OR(#REF!=#REF!,#REF!="NAN")),#REF!, 0))</f>
        <v>#REF!</v>
      </c>
      <c r="E315" t="e">
        <f>IF(#REF!="NAN","",IF(
   AND(OR(#REF!=#REF!,#REF!="NAN"),
     OR(#REF!=#REF!,#REF!="NAN"),
     OR(#REF!=#REF!,#REF!="NAN")),
   1,
   0))</f>
        <v>#REF!</v>
      </c>
      <c r="G315" t="e">
        <f>IF(OR(#REF!="UP",#REF!="DOWN"),1,0)</f>
        <v>#REF!</v>
      </c>
      <c r="H315" t="e">
        <f>IF(OR(#REF!="UP",#REF!="DOWN"),1,0)</f>
        <v>#REF!</v>
      </c>
      <c r="I315" t="e">
        <f>IF(OR(#REF!="UP",#REF!="DOWN"),1,0)</f>
        <v>#REF!</v>
      </c>
      <c r="M315" t="e">
        <f>IF(OR(#REF!="UP",#REF!="DOWN"),0,1)</f>
        <v>#REF!</v>
      </c>
      <c r="N315" t="e">
        <f>IF(OR(#REF!="UP",#REF!="DOWN"),VLOOKUP($C315,Configuración!$H$2:$K$11,3),1)</f>
        <v>#REF!</v>
      </c>
      <c r="O315" t="e">
        <f>IF(OR(#REF!="UP",#REF!="DOWN"),VLOOKUP($C315,Configuración!$H$2:$K$11,4),1)</f>
        <v>#REF!</v>
      </c>
      <c r="P315" t="e">
        <f t="shared" si="43"/>
        <v>#REF!</v>
      </c>
      <c r="Q315" t="e">
        <f t="shared" si="44"/>
        <v>#REF!</v>
      </c>
      <c r="R315" t="e">
        <f t="shared" si="52"/>
        <v>#REF!</v>
      </c>
      <c r="T315" t="e">
        <f>IF(R315&lt;&gt;0,Configuración!$E$2,0)</f>
        <v>#REF!</v>
      </c>
      <c r="U315" t="e">
        <f>IF(R315&lt;&gt;0,Configuración!$F$2,0)</f>
        <v>#REF!</v>
      </c>
      <c r="V315" t="e">
        <f>IF(R315&lt;&gt;0,Configuración!$G$2,0)</f>
        <v>#REF!</v>
      </c>
      <c r="W315" t="e">
        <f t="shared" si="45"/>
        <v>#REF!</v>
      </c>
      <c r="X315" t="e">
        <f t="shared" si="46"/>
        <v>#REF!</v>
      </c>
      <c r="Z315" t="e">
        <f t="shared" si="47"/>
        <v>#REF!</v>
      </c>
      <c r="AB315" t="e">
        <f t="shared" si="48"/>
        <v>#REF!</v>
      </c>
      <c r="AG315" t="e">
        <f t="shared" si="49"/>
        <v>#REF!</v>
      </c>
      <c r="AH315" s="5" t="e">
        <f t="shared" si="50"/>
        <v>#REF!</v>
      </c>
      <c r="AI315" t="e">
        <f t="shared" si="51"/>
        <v>#REF!</v>
      </c>
    </row>
    <row r="316" spans="4:35" x14ac:dyDescent="0.55000000000000004">
      <c r="D316" t="e">
        <f>IF(COUNTIF(#REF!,"&lt;&gt;NAN")=0, 0, IF(AND(OR(#REF!=#REF!,#REF!="NAN"), OR(#REF!=#REF!,#REF!="NAN"), OR(#REF!=#REF!,#REF!="NAN")),#REF!, 0))</f>
        <v>#REF!</v>
      </c>
      <c r="E316" t="e">
        <f>IF(#REF!="NAN","",IF(
   AND(OR(#REF!=#REF!,#REF!="NAN"),
     OR(#REF!=#REF!,#REF!="NAN"),
     OR(#REF!=#REF!,#REF!="NAN")),
   1,
   0))</f>
        <v>#REF!</v>
      </c>
      <c r="G316" t="e">
        <f>IF(OR(#REF!="UP",#REF!="DOWN"),1,0)</f>
        <v>#REF!</v>
      </c>
      <c r="H316" t="e">
        <f>IF(OR(#REF!="UP",#REF!="DOWN"),1,0)</f>
        <v>#REF!</v>
      </c>
      <c r="I316" t="e">
        <f>IF(OR(#REF!="UP",#REF!="DOWN"),1,0)</f>
        <v>#REF!</v>
      </c>
      <c r="M316" t="e">
        <f>IF(OR(#REF!="UP",#REF!="DOWN"),0,1)</f>
        <v>#REF!</v>
      </c>
      <c r="N316" t="e">
        <f>IF(OR(#REF!="UP",#REF!="DOWN"),VLOOKUP($C316,Configuración!$H$2:$K$11,3),1)</f>
        <v>#REF!</v>
      </c>
      <c r="O316" t="e">
        <f>IF(OR(#REF!="UP",#REF!="DOWN"),VLOOKUP($C316,Configuración!$H$2:$K$11,4),1)</f>
        <v>#REF!</v>
      </c>
      <c r="P316" t="e">
        <f t="shared" si="43"/>
        <v>#REF!</v>
      </c>
      <c r="Q316" t="e">
        <f t="shared" si="44"/>
        <v>#REF!</v>
      </c>
      <c r="R316" t="e">
        <f t="shared" si="52"/>
        <v>#REF!</v>
      </c>
      <c r="T316" t="e">
        <f>IF(R316&lt;&gt;0,Configuración!$E$2,0)</f>
        <v>#REF!</v>
      </c>
      <c r="U316" t="e">
        <f>IF(R316&lt;&gt;0,Configuración!$F$2,0)</f>
        <v>#REF!</v>
      </c>
      <c r="V316" t="e">
        <f>IF(R316&lt;&gt;0,Configuración!$G$2,0)</f>
        <v>#REF!</v>
      </c>
      <c r="W316" t="e">
        <f t="shared" si="45"/>
        <v>#REF!</v>
      </c>
      <c r="X316" t="e">
        <f t="shared" si="46"/>
        <v>#REF!</v>
      </c>
      <c r="Z316" t="e">
        <f t="shared" si="47"/>
        <v>#REF!</v>
      </c>
      <c r="AB316" t="e">
        <f t="shared" si="48"/>
        <v>#REF!</v>
      </c>
      <c r="AG316" t="e">
        <f t="shared" si="49"/>
        <v>#REF!</v>
      </c>
      <c r="AH316" s="5" t="e">
        <f t="shared" si="50"/>
        <v>#REF!</v>
      </c>
      <c r="AI316" t="e">
        <f t="shared" si="51"/>
        <v>#REF!</v>
      </c>
    </row>
    <row r="317" spans="4:35" x14ac:dyDescent="0.55000000000000004">
      <c r="D317" t="e">
        <f>IF(COUNTIF(#REF!,"&lt;&gt;NAN")=0, 0, IF(AND(OR(#REF!=#REF!,#REF!="NAN"), OR(#REF!=#REF!,#REF!="NAN"), OR(#REF!=#REF!,#REF!="NAN")),#REF!, 0))</f>
        <v>#REF!</v>
      </c>
      <c r="E317" t="e">
        <f>IF(#REF!="NAN","",IF(
   AND(OR(#REF!=#REF!,#REF!="NAN"),
     OR(#REF!=#REF!,#REF!="NAN"),
     OR(#REF!=#REF!,#REF!="NAN")),
   1,
   0))</f>
        <v>#REF!</v>
      </c>
      <c r="G317" t="e">
        <f>IF(OR(#REF!="UP",#REF!="DOWN"),1,0)</f>
        <v>#REF!</v>
      </c>
      <c r="H317" t="e">
        <f>IF(OR(#REF!="UP",#REF!="DOWN"),1,0)</f>
        <v>#REF!</v>
      </c>
      <c r="I317" t="e">
        <f>IF(OR(#REF!="UP",#REF!="DOWN"),1,0)</f>
        <v>#REF!</v>
      </c>
      <c r="M317" t="e">
        <f>IF(OR(#REF!="UP",#REF!="DOWN"),0,1)</f>
        <v>#REF!</v>
      </c>
      <c r="N317" t="e">
        <f>IF(OR(#REF!="UP",#REF!="DOWN"),VLOOKUP($C317,Configuración!$H$2:$K$11,3),1)</f>
        <v>#REF!</v>
      </c>
      <c r="O317" t="e">
        <f>IF(OR(#REF!="UP",#REF!="DOWN"),VLOOKUP($C317,Configuración!$H$2:$K$11,4),1)</f>
        <v>#REF!</v>
      </c>
      <c r="P317" t="e">
        <f t="shared" si="43"/>
        <v>#REF!</v>
      </c>
      <c r="Q317" t="e">
        <f t="shared" si="44"/>
        <v>#REF!</v>
      </c>
      <c r="R317" t="e">
        <f t="shared" si="52"/>
        <v>#REF!</v>
      </c>
      <c r="T317" t="e">
        <f>IF(R317&lt;&gt;0,Configuración!$E$2,0)</f>
        <v>#REF!</v>
      </c>
      <c r="U317" t="e">
        <f>IF(R317&lt;&gt;0,Configuración!$F$2,0)</f>
        <v>#REF!</v>
      </c>
      <c r="V317" t="e">
        <f>IF(R317&lt;&gt;0,Configuración!$G$2,0)</f>
        <v>#REF!</v>
      </c>
      <c r="W317" t="e">
        <f t="shared" si="45"/>
        <v>#REF!</v>
      </c>
      <c r="X317" t="e">
        <f t="shared" si="46"/>
        <v>#REF!</v>
      </c>
      <c r="Z317" t="e">
        <f t="shared" si="47"/>
        <v>#REF!</v>
      </c>
      <c r="AB317" t="e">
        <f t="shared" si="48"/>
        <v>#REF!</v>
      </c>
      <c r="AG317" t="e">
        <f t="shared" si="49"/>
        <v>#REF!</v>
      </c>
      <c r="AH317" s="5" t="e">
        <f t="shared" si="50"/>
        <v>#REF!</v>
      </c>
      <c r="AI317" t="e">
        <f t="shared" si="51"/>
        <v>#REF!</v>
      </c>
    </row>
    <row r="318" spans="4:35" x14ac:dyDescent="0.55000000000000004">
      <c r="D318" t="e">
        <f>IF(COUNTIF(#REF!,"&lt;&gt;NAN")=0, 0, IF(AND(OR(#REF!=#REF!,#REF!="NAN"), OR(#REF!=#REF!,#REF!="NAN"), OR(#REF!=#REF!,#REF!="NAN")),#REF!, 0))</f>
        <v>#REF!</v>
      </c>
      <c r="E318" t="e">
        <f>IF(#REF!="NAN","",IF(
   AND(OR(#REF!=#REF!,#REF!="NAN"),
     OR(#REF!=#REF!,#REF!="NAN"),
     OR(#REF!=#REF!,#REF!="NAN")),
   1,
   0))</f>
        <v>#REF!</v>
      </c>
      <c r="G318" t="e">
        <f>IF(OR(#REF!="UP",#REF!="DOWN"),1,0)</f>
        <v>#REF!</v>
      </c>
      <c r="H318" t="e">
        <f>IF(OR(#REF!="UP",#REF!="DOWN"),1,0)</f>
        <v>#REF!</v>
      </c>
      <c r="I318" t="e">
        <f>IF(OR(#REF!="UP",#REF!="DOWN"),1,0)</f>
        <v>#REF!</v>
      </c>
      <c r="M318" t="e">
        <f>IF(OR(#REF!="UP",#REF!="DOWN"),0,1)</f>
        <v>#REF!</v>
      </c>
      <c r="N318" t="e">
        <f>IF(OR(#REF!="UP",#REF!="DOWN"),VLOOKUP($C318,Configuración!$H$2:$K$11,3),1)</f>
        <v>#REF!</v>
      </c>
      <c r="O318" t="e">
        <f>IF(OR(#REF!="UP",#REF!="DOWN"),VLOOKUP($C318,Configuración!$H$2:$K$11,4),1)</f>
        <v>#REF!</v>
      </c>
      <c r="P318" t="e">
        <f t="shared" si="43"/>
        <v>#REF!</v>
      </c>
      <c r="Q318" t="e">
        <f t="shared" si="44"/>
        <v>#REF!</v>
      </c>
      <c r="R318" t="e">
        <f t="shared" si="52"/>
        <v>#REF!</v>
      </c>
      <c r="T318" t="e">
        <f>IF(R318&lt;&gt;0,Configuración!$E$2,0)</f>
        <v>#REF!</v>
      </c>
      <c r="U318" t="e">
        <f>IF(R318&lt;&gt;0,Configuración!$F$2,0)</f>
        <v>#REF!</v>
      </c>
      <c r="V318" t="e">
        <f>IF(R318&lt;&gt;0,Configuración!$G$2,0)</f>
        <v>#REF!</v>
      </c>
      <c r="W318" t="e">
        <f t="shared" si="45"/>
        <v>#REF!</v>
      </c>
      <c r="X318" t="e">
        <f t="shared" si="46"/>
        <v>#REF!</v>
      </c>
      <c r="Z318" t="e">
        <f t="shared" si="47"/>
        <v>#REF!</v>
      </c>
      <c r="AB318" t="e">
        <f t="shared" si="48"/>
        <v>#REF!</v>
      </c>
      <c r="AG318" t="e">
        <f t="shared" si="49"/>
        <v>#REF!</v>
      </c>
      <c r="AH318" s="5" t="e">
        <f t="shared" si="50"/>
        <v>#REF!</v>
      </c>
      <c r="AI318" t="e">
        <f t="shared" si="51"/>
        <v>#REF!</v>
      </c>
    </row>
    <row r="319" spans="4:35" x14ac:dyDescent="0.55000000000000004">
      <c r="D319" t="e">
        <f>IF(COUNTIF(#REF!,"&lt;&gt;NAN")=0, 0, IF(AND(OR(#REF!=#REF!,#REF!="NAN"), OR(#REF!=#REF!,#REF!="NAN"), OR(#REF!=#REF!,#REF!="NAN")),#REF!, 0))</f>
        <v>#REF!</v>
      </c>
      <c r="E319" t="e">
        <f>IF(#REF!="NAN","",IF(
   AND(OR(#REF!=#REF!,#REF!="NAN"),
     OR(#REF!=#REF!,#REF!="NAN"),
     OR(#REF!=#REF!,#REF!="NAN")),
   1,
   0))</f>
        <v>#REF!</v>
      </c>
      <c r="G319" t="e">
        <f>IF(OR(#REF!="UP",#REF!="DOWN"),1,0)</f>
        <v>#REF!</v>
      </c>
      <c r="H319" t="e">
        <f>IF(OR(#REF!="UP",#REF!="DOWN"),1,0)</f>
        <v>#REF!</v>
      </c>
      <c r="I319" t="e">
        <f>IF(OR(#REF!="UP",#REF!="DOWN"),1,0)</f>
        <v>#REF!</v>
      </c>
      <c r="M319" t="e">
        <f>IF(OR(#REF!="UP",#REF!="DOWN"),0,1)</f>
        <v>#REF!</v>
      </c>
      <c r="N319" t="e">
        <f>IF(OR(#REF!="UP",#REF!="DOWN"),VLOOKUP($C319,Configuración!$H$2:$K$11,3),1)</f>
        <v>#REF!</v>
      </c>
      <c r="O319" t="e">
        <f>IF(OR(#REF!="UP",#REF!="DOWN"),VLOOKUP($C319,Configuración!$H$2:$K$11,4),1)</f>
        <v>#REF!</v>
      </c>
      <c r="P319" t="e">
        <f t="shared" si="43"/>
        <v>#REF!</v>
      </c>
      <c r="Q319" t="e">
        <f t="shared" si="44"/>
        <v>#REF!</v>
      </c>
      <c r="R319" t="e">
        <f t="shared" si="52"/>
        <v>#REF!</v>
      </c>
      <c r="T319" t="e">
        <f>IF(R319&lt;&gt;0,Configuración!$E$2,0)</f>
        <v>#REF!</v>
      </c>
      <c r="U319" t="e">
        <f>IF(R319&lt;&gt;0,Configuración!$F$2,0)</f>
        <v>#REF!</v>
      </c>
      <c r="V319" t="e">
        <f>IF(R319&lt;&gt;0,Configuración!$G$2,0)</f>
        <v>#REF!</v>
      </c>
      <c r="W319" t="e">
        <f t="shared" si="45"/>
        <v>#REF!</v>
      </c>
      <c r="X319" t="e">
        <f t="shared" si="46"/>
        <v>#REF!</v>
      </c>
      <c r="Z319" t="e">
        <f t="shared" si="47"/>
        <v>#REF!</v>
      </c>
      <c r="AB319" t="e">
        <f t="shared" si="48"/>
        <v>#REF!</v>
      </c>
      <c r="AG319" t="e">
        <f t="shared" si="49"/>
        <v>#REF!</v>
      </c>
      <c r="AH319" s="5" t="e">
        <f t="shared" si="50"/>
        <v>#REF!</v>
      </c>
      <c r="AI319" t="e">
        <f t="shared" si="51"/>
        <v>#REF!</v>
      </c>
    </row>
    <row r="320" spans="4:35" x14ac:dyDescent="0.55000000000000004">
      <c r="D320" t="e">
        <f>IF(COUNTIF(#REF!,"&lt;&gt;NAN")=0, 0, IF(AND(OR(#REF!=#REF!,#REF!="NAN"), OR(#REF!=#REF!,#REF!="NAN"), OR(#REF!=#REF!,#REF!="NAN")),#REF!, 0))</f>
        <v>#REF!</v>
      </c>
      <c r="E320" t="e">
        <f>IF(#REF!="NAN","",IF(
   AND(OR(#REF!=#REF!,#REF!="NAN"),
     OR(#REF!=#REF!,#REF!="NAN"),
     OR(#REF!=#REF!,#REF!="NAN")),
   1,
   0))</f>
        <v>#REF!</v>
      </c>
      <c r="G320" t="e">
        <f>IF(OR(#REF!="UP",#REF!="DOWN"),1,0)</f>
        <v>#REF!</v>
      </c>
      <c r="H320" t="e">
        <f>IF(OR(#REF!="UP",#REF!="DOWN"),1,0)</f>
        <v>#REF!</v>
      </c>
      <c r="I320" t="e">
        <f>IF(OR(#REF!="UP",#REF!="DOWN"),1,0)</f>
        <v>#REF!</v>
      </c>
      <c r="M320" t="e">
        <f>IF(OR(#REF!="UP",#REF!="DOWN"),0,1)</f>
        <v>#REF!</v>
      </c>
      <c r="N320" t="e">
        <f>IF(OR(#REF!="UP",#REF!="DOWN"),VLOOKUP($C320,Configuración!$H$2:$K$11,3),1)</f>
        <v>#REF!</v>
      </c>
      <c r="O320" t="e">
        <f>IF(OR(#REF!="UP",#REF!="DOWN"),VLOOKUP($C320,Configuración!$H$2:$K$11,4),1)</f>
        <v>#REF!</v>
      </c>
      <c r="P320" t="e">
        <f t="shared" si="43"/>
        <v>#REF!</v>
      </c>
      <c r="Q320" t="e">
        <f t="shared" si="44"/>
        <v>#REF!</v>
      </c>
      <c r="R320" t="e">
        <f t="shared" si="52"/>
        <v>#REF!</v>
      </c>
      <c r="T320" t="e">
        <f>IF(R320&lt;&gt;0,Configuración!$E$2,0)</f>
        <v>#REF!</v>
      </c>
      <c r="U320" t="e">
        <f>IF(R320&lt;&gt;0,Configuración!$F$2,0)</f>
        <v>#REF!</v>
      </c>
      <c r="V320" t="e">
        <f>IF(R320&lt;&gt;0,Configuración!$G$2,0)</f>
        <v>#REF!</v>
      </c>
      <c r="W320" t="e">
        <f t="shared" si="45"/>
        <v>#REF!</v>
      </c>
      <c r="X320" t="e">
        <f t="shared" si="46"/>
        <v>#REF!</v>
      </c>
      <c r="Z320" t="e">
        <f t="shared" si="47"/>
        <v>#REF!</v>
      </c>
      <c r="AB320" t="e">
        <f t="shared" si="48"/>
        <v>#REF!</v>
      </c>
      <c r="AG320" t="e">
        <f t="shared" si="49"/>
        <v>#REF!</v>
      </c>
      <c r="AH320" s="5" t="e">
        <f t="shared" si="50"/>
        <v>#REF!</v>
      </c>
      <c r="AI320" t="e">
        <f t="shared" si="51"/>
        <v>#REF!</v>
      </c>
    </row>
    <row r="321" spans="4:35" x14ac:dyDescent="0.55000000000000004">
      <c r="D321" t="e">
        <f>IF(COUNTIF(#REF!,"&lt;&gt;NAN")=0, 0, IF(AND(OR(#REF!=#REF!,#REF!="NAN"), OR(#REF!=#REF!,#REF!="NAN"), OR(#REF!=#REF!,#REF!="NAN")),#REF!, 0))</f>
        <v>#REF!</v>
      </c>
      <c r="E321" t="e">
        <f>IF(#REF!="NAN","",IF(
   AND(OR(#REF!=#REF!,#REF!="NAN"),
     OR(#REF!=#REF!,#REF!="NAN"),
     OR(#REF!=#REF!,#REF!="NAN")),
   1,
   0))</f>
        <v>#REF!</v>
      </c>
      <c r="G321" t="e">
        <f>IF(OR(#REF!="UP",#REF!="DOWN"),1,0)</f>
        <v>#REF!</v>
      </c>
      <c r="H321" t="e">
        <f>IF(OR(#REF!="UP",#REF!="DOWN"),1,0)</f>
        <v>#REF!</v>
      </c>
      <c r="I321" t="e">
        <f>IF(OR(#REF!="UP",#REF!="DOWN"),1,0)</f>
        <v>#REF!</v>
      </c>
      <c r="M321" t="e">
        <f>IF(OR(#REF!="UP",#REF!="DOWN"),0,1)</f>
        <v>#REF!</v>
      </c>
      <c r="N321" t="e">
        <f>IF(OR(#REF!="UP",#REF!="DOWN"),VLOOKUP($C321,Configuración!$H$2:$K$11,3),1)</f>
        <v>#REF!</v>
      </c>
      <c r="O321" t="e">
        <f>IF(OR(#REF!="UP",#REF!="DOWN"),VLOOKUP($C321,Configuración!$H$2:$K$11,4),1)</f>
        <v>#REF!</v>
      </c>
      <c r="P321" t="e">
        <f t="shared" si="43"/>
        <v>#REF!</v>
      </c>
      <c r="Q321" t="e">
        <f t="shared" si="44"/>
        <v>#REF!</v>
      </c>
      <c r="R321" t="e">
        <f t="shared" si="52"/>
        <v>#REF!</v>
      </c>
      <c r="T321" t="e">
        <f>IF(R321&lt;&gt;0,Configuración!$E$2,0)</f>
        <v>#REF!</v>
      </c>
      <c r="U321" t="e">
        <f>IF(R321&lt;&gt;0,Configuración!$F$2,0)</f>
        <v>#REF!</v>
      </c>
      <c r="V321" t="e">
        <f>IF(R321&lt;&gt;0,Configuración!$G$2,0)</f>
        <v>#REF!</v>
      </c>
      <c r="W321" t="e">
        <f t="shared" si="45"/>
        <v>#REF!</v>
      </c>
      <c r="X321" t="e">
        <f t="shared" si="46"/>
        <v>#REF!</v>
      </c>
      <c r="Z321" t="e">
        <f t="shared" si="47"/>
        <v>#REF!</v>
      </c>
      <c r="AB321" t="e">
        <f t="shared" si="48"/>
        <v>#REF!</v>
      </c>
      <c r="AG321" t="e">
        <f t="shared" si="49"/>
        <v>#REF!</v>
      </c>
      <c r="AH321" s="5" t="e">
        <f t="shared" si="50"/>
        <v>#REF!</v>
      </c>
      <c r="AI321" t="e">
        <f t="shared" si="51"/>
        <v>#REF!</v>
      </c>
    </row>
    <row r="322" spans="4:35" x14ac:dyDescent="0.55000000000000004">
      <c r="D322" t="e">
        <f>IF(COUNTIF(#REF!,"&lt;&gt;NAN")=0, 0, IF(AND(OR(#REF!=#REF!,#REF!="NAN"), OR(#REF!=#REF!,#REF!="NAN"), OR(#REF!=#REF!,#REF!="NAN")),#REF!, 0))</f>
        <v>#REF!</v>
      </c>
      <c r="E322" t="e">
        <f>IF(#REF!="NAN","",IF(
   AND(OR(#REF!=#REF!,#REF!="NAN"),
     OR(#REF!=#REF!,#REF!="NAN"),
     OR(#REF!=#REF!,#REF!="NAN")),
   1,
   0))</f>
        <v>#REF!</v>
      </c>
      <c r="G322" t="e">
        <f>IF(OR(#REF!="UP",#REF!="DOWN"),1,0)</f>
        <v>#REF!</v>
      </c>
      <c r="H322" t="e">
        <f>IF(OR(#REF!="UP",#REF!="DOWN"),1,0)</f>
        <v>#REF!</v>
      </c>
      <c r="I322" t="e">
        <f>IF(OR(#REF!="UP",#REF!="DOWN"),1,0)</f>
        <v>#REF!</v>
      </c>
      <c r="M322" t="e">
        <f>IF(OR(#REF!="UP",#REF!="DOWN"),0,1)</f>
        <v>#REF!</v>
      </c>
      <c r="N322" t="e">
        <f>IF(OR(#REF!="UP",#REF!="DOWN"),VLOOKUP($C322,Configuración!$H$2:$K$11,3),1)</f>
        <v>#REF!</v>
      </c>
      <c r="O322" t="e">
        <f>IF(OR(#REF!="UP",#REF!="DOWN"),VLOOKUP($C322,Configuración!$H$2:$K$11,4),1)</f>
        <v>#REF!</v>
      </c>
      <c r="P322" t="e">
        <f t="shared" si="43"/>
        <v>#REF!</v>
      </c>
      <c r="Q322" t="e">
        <f t="shared" si="44"/>
        <v>#REF!</v>
      </c>
      <c r="R322" t="e">
        <f t="shared" si="52"/>
        <v>#REF!</v>
      </c>
      <c r="T322" t="e">
        <f>IF(R322&lt;&gt;0,Configuración!$E$2,0)</f>
        <v>#REF!</v>
      </c>
      <c r="U322" t="e">
        <f>IF(R322&lt;&gt;0,Configuración!$F$2,0)</f>
        <v>#REF!</v>
      </c>
      <c r="V322" t="e">
        <f>IF(R322&lt;&gt;0,Configuración!$G$2,0)</f>
        <v>#REF!</v>
      </c>
      <c r="W322" t="e">
        <f t="shared" si="45"/>
        <v>#REF!</v>
      </c>
      <c r="X322" t="e">
        <f t="shared" si="46"/>
        <v>#REF!</v>
      </c>
      <c r="Z322" t="e">
        <f t="shared" si="47"/>
        <v>#REF!</v>
      </c>
      <c r="AB322" t="e">
        <f t="shared" si="48"/>
        <v>#REF!</v>
      </c>
      <c r="AG322" t="e">
        <f t="shared" si="49"/>
        <v>#REF!</v>
      </c>
      <c r="AH322" s="5" t="e">
        <f t="shared" si="50"/>
        <v>#REF!</v>
      </c>
      <c r="AI322" t="e">
        <f t="shared" si="51"/>
        <v>#REF!</v>
      </c>
    </row>
    <row r="323" spans="4:35" x14ac:dyDescent="0.55000000000000004">
      <c r="D323" t="e">
        <f>IF(COUNTIF(#REF!,"&lt;&gt;NAN")=0, 0, IF(AND(OR(#REF!=#REF!,#REF!="NAN"), OR(#REF!=#REF!,#REF!="NAN"), OR(#REF!=#REF!,#REF!="NAN")),#REF!, 0))</f>
        <v>#REF!</v>
      </c>
      <c r="E323" t="e">
        <f>IF(#REF!="NAN","",IF(
   AND(OR(#REF!=#REF!,#REF!="NAN"),
     OR(#REF!=#REF!,#REF!="NAN"),
     OR(#REF!=#REF!,#REF!="NAN")),
   1,
   0))</f>
        <v>#REF!</v>
      </c>
      <c r="G323" t="e">
        <f>IF(OR(#REF!="UP",#REF!="DOWN"),1,0)</f>
        <v>#REF!</v>
      </c>
      <c r="H323" t="e">
        <f>IF(OR(#REF!="UP",#REF!="DOWN"),1,0)</f>
        <v>#REF!</v>
      </c>
      <c r="I323" t="e">
        <f>IF(OR(#REF!="UP",#REF!="DOWN"),1,0)</f>
        <v>#REF!</v>
      </c>
      <c r="M323" t="e">
        <f>IF(OR(#REF!="UP",#REF!="DOWN"),0,1)</f>
        <v>#REF!</v>
      </c>
      <c r="N323" t="e">
        <f>IF(OR(#REF!="UP",#REF!="DOWN"),VLOOKUP($C323,Configuración!$H$2:$K$11,3),1)</f>
        <v>#REF!</v>
      </c>
      <c r="O323" t="e">
        <f>IF(OR(#REF!="UP",#REF!="DOWN"),VLOOKUP($C323,Configuración!$H$2:$K$11,4),1)</f>
        <v>#REF!</v>
      </c>
      <c r="P323" t="e">
        <f t="shared" si="43"/>
        <v>#REF!</v>
      </c>
      <c r="Q323" t="e">
        <f t="shared" si="44"/>
        <v>#REF!</v>
      </c>
      <c r="R323" t="e">
        <f t="shared" si="52"/>
        <v>#REF!</v>
      </c>
      <c r="T323" t="e">
        <f>IF(R323&lt;&gt;0,Configuración!$E$2,0)</f>
        <v>#REF!</v>
      </c>
      <c r="U323" t="e">
        <f>IF(R323&lt;&gt;0,Configuración!$F$2,0)</f>
        <v>#REF!</v>
      </c>
      <c r="V323" t="e">
        <f>IF(R323&lt;&gt;0,Configuración!$G$2,0)</f>
        <v>#REF!</v>
      </c>
      <c r="W323" t="e">
        <f t="shared" si="45"/>
        <v>#REF!</v>
      </c>
      <c r="X323" t="e">
        <f t="shared" si="46"/>
        <v>#REF!</v>
      </c>
      <c r="Z323" t="e">
        <f t="shared" si="47"/>
        <v>#REF!</v>
      </c>
      <c r="AB323" t="e">
        <f t="shared" si="48"/>
        <v>#REF!</v>
      </c>
      <c r="AG323" t="e">
        <f t="shared" si="49"/>
        <v>#REF!</v>
      </c>
      <c r="AH323" s="5" t="e">
        <f t="shared" si="50"/>
        <v>#REF!</v>
      </c>
      <c r="AI323" t="e">
        <f t="shared" si="51"/>
        <v>#REF!</v>
      </c>
    </row>
    <row r="324" spans="4:35" x14ac:dyDescent="0.55000000000000004">
      <c r="D324" t="e">
        <f>IF(COUNTIF(#REF!,"&lt;&gt;NAN")=0, 0, IF(AND(OR(#REF!=#REF!,#REF!="NAN"), OR(#REF!=#REF!,#REF!="NAN"), OR(#REF!=#REF!,#REF!="NAN")),#REF!, 0))</f>
        <v>#REF!</v>
      </c>
      <c r="E324" t="e">
        <f>IF(#REF!="NAN","",IF(
   AND(OR(#REF!=#REF!,#REF!="NAN"),
     OR(#REF!=#REF!,#REF!="NAN"),
     OR(#REF!=#REF!,#REF!="NAN")),
   1,
   0))</f>
        <v>#REF!</v>
      </c>
      <c r="G324" t="e">
        <f>IF(OR(#REF!="UP",#REF!="DOWN"),1,0)</f>
        <v>#REF!</v>
      </c>
      <c r="H324" t="e">
        <f>IF(OR(#REF!="UP",#REF!="DOWN"),1,0)</f>
        <v>#REF!</v>
      </c>
      <c r="I324" t="e">
        <f>IF(OR(#REF!="UP",#REF!="DOWN"),1,0)</f>
        <v>#REF!</v>
      </c>
      <c r="M324" t="e">
        <f>IF(OR(#REF!="UP",#REF!="DOWN"),0,1)</f>
        <v>#REF!</v>
      </c>
      <c r="N324" t="e">
        <f>IF(OR(#REF!="UP",#REF!="DOWN"),VLOOKUP($C324,Configuración!$H$2:$K$11,3),1)</f>
        <v>#REF!</v>
      </c>
      <c r="O324" t="e">
        <f>IF(OR(#REF!="UP",#REF!="DOWN"),VLOOKUP($C324,Configuración!$H$2:$K$11,4),1)</f>
        <v>#REF!</v>
      </c>
      <c r="P324" t="e">
        <f t="shared" ref="P324:P387" si="53">IF(SUM(G324:I324)=0,
    0,
    IF(SUM(G324:I324)=1,
        G324*M324 + H324*N324 + I324*O324,
        IF(SUM(G324:I324)=2,
            1 - PRODUCT(
                IF(G324=1,1-M324,1),
                IF(H324=1,1-N324,1),
                IF(I324=1,1-O324,1)
            ),
            IF(SUM(G324:I324)=3,
                1 - PRODUCT(1-M324,1-N324,1-O324),
                0
            )
        )
    )
)</f>
        <v>#REF!</v>
      </c>
      <c r="Q324" t="e">
        <f t="shared" ref="Q324:Q387" si="54">P324*E324</f>
        <v>#REF!</v>
      </c>
      <c r="R324" t="e">
        <f t="shared" si="52"/>
        <v>#REF!</v>
      </c>
      <c r="T324" t="e">
        <f>IF(R324&lt;&gt;0,Configuración!$E$2,0)</f>
        <v>#REF!</v>
      </c>
      <c r="U324" t="e">
        <f>IF(R324&lt;&gt;0,Configuración!$F$2,0)</f>
        <v>#REF!</v>
      </c>
      <c r="V324" t="e">
        <f>IF(R324&lt;&gt;0,Configuración!$G$2,0)</f>
        <v>#REF!</v>
      </c>
      <c r="W324" t="e">
        <f t="shared" ref="W324:W387" si="55">IF(R324="DOWN",S324+(S324*T324/100),S324-(S324*T324/100))</f>
        <v>#REF!</v>
      </c>
      <c r="X324" t="e">
        <f t="shared" ref="X324:X387" si="56">IF(R324="DOWN",S324-(S324*U324/100),S324+(S324*U324/100))</f>
        <v>#REF!</v>
      </c>
      <c r="Z324" t="e">
        <f t="shared" ref="Z324:Z387" si="57">IF(R324="DOWN",IF(Y324 &lt; S324 * (1 - 0.01), Y324 * (1 + 0.005), ""),IF(Y324 &gt; S324 * (1 + 0.01), Y324 * (1 - 0.005), ""))</f>
        <v>#REF!</v>
      </c>
      <c r="AB324" t="e">
        <f t="shared" ref="AB324:AB387" si="58">(($B$1) *(T324))/100</f>
        <v>#REF!</v>
      </c>
      <c r="AG324" t="e">
        <f t="shared" ref="AG324:AG387" si="59">IF(R324="DOWN",(S324-AA324)/S324*1000,(AA324-S324)/S324*1000)</f>
        <v>#REF!</v>
      </c>
      <c r="AH324" s="5" t="e">
        <f t="shared" ref="AH324:AH387" si="60">AB324*(AG324)</f>
        <v>#REF!</v>
      </c>
      <c r="AI324" t="e">
        <f t="shared" ref="AI324:AI387" si="61">IF(AK324&lt;V324,"MANTENER","CERRAR")</f>
        <v>#REF!</v>
      </c>
    </row>
    <row r="325" spans="4:35" x14ac:dyDescent="0.55000000000000004">
      <c r="D325" t="e">
        <f>IF(COUNTIF(#REF!,"&lt;&gt;NAN")=0, 0, IF(AND(OR(#REF!=#REF!,#REF!="NAN"), OR(#REF!=#REF!,#REF!="NAN"), OR(#REF!=#REF!,#REF!="NAN")),#REF!, 0))</f>
        <v>#REF!</v>
      </c>
      <c r="E325" t="e">
        <f>IF(#REF!="NAN","",IF(
   AND(OR(#REF!=#REF!,#REF!="NAN"),
     OR(#REF!=#REF!,#REF!="NAN"),
     OR(#REF!=#REF!,#REF!="NAN")),
   1,
   0))</f>
        <v>#REF!</v>
      </c>
      <c r="G325" t="e">
        <f>IF(OR(#REF!="UP",#REF!="DOWN"),1,0)</f>
        <v>#REF!</v>
      </c>
      <c r="H325" t="e">
        <f>IF(OR(#REF!="UP",#REF!="DOWN"),1,0)</f>
        <v>#REF!</v>
      </c>
      <c r="I325" t="e">
        <f>IF(OR(#REF!="UP",#REF!="DOWN"),1,0)</f>
        <v>#REF!</v>
      </c>
      <c r="M325" t="e">
        <f>IF(OR(#REF!="UP",#REF!="DOWN"),0,1)</f>
        <v>#REF!</v>
      </c>
      <c r="N325" t="e">
        <f>IF(OR(#REF!="UP",#REF!="DOWN"),VLOOKUP($C325,Configuración!$H$2:$K$11,3),1)</f>
        <v>#REF!</v>
      </c>
      <c r="O325" t="e">
        <f>IF(OR(#REF!="UP",#REF!="DOWN"),VLOOKUP($C325,Configuración!$H$2:$K$11,4),1)</f>
        <v>#REF!</v>
      </c>
      <c r="P325" t="e">
        <f t="shared" si="53"/>
        <v>#REF!</v>
      </c>
      <c r="Q325" t="e">
        <f t="shared" si="54"/>
        <v>#REF!</v>
      </c>
      <c r="R325" t="e">
        <f t="shared" si="52"/>
        <v>#REF!</v>
      </c>
      <c r="T325" t="e">
        <f>IF(R325&lt;&gt;0,Configuración!$E$2,0)</f>
        <v>#REF!</v>
      </c>
      <c r="U325" t="e">
        <f>IF(R325&lt;&gt;0,Configuración!$F$2,0)</f>
        <v>#REF!</v>
      </c>
      <c r="V325" t="e">
        <f>IF(R325&lt;&gt;0,Configuración!$G$2,0)</f>
        <v>#REF!</v>
      </c>
      <c r="W325" t="e">
        <f t="shared" si="55"/>
        <v>#REF!</v>
      </c>
      <c r="X325" t="e">
        <f t="shared" si="56"/>
        <v>#REF!</v>
      </c>
      <c r="Z325" t="e">
        <f t="shared" si="57"/>
        <v>#REF!</v>
      </c>
      <c r="AB325" t="e">
        <f t="shared" si="58"/>
        <v>#REF!</v>
      </c>
      <c r="AG325" t="e">
        <f t="shared" si="59"/>
        <v>#REF!</v>
      </c>
      <c r="AH325" s="5" t="e">
        <f t="shared" si="60"/>
        <v>#REF!</v>
      </c>
      <c r="AI325" t="e">
        <f t="shared" si="61"/>
        <v>#REF!</v>
      </c>
    </row>
    <row r="326" spans="4:35" x14ac:dyDescent="0.55000000000000004">
      <c r="D326" t="e">
        <f>IF(COUNTIF(#REF!,"&lt;&gt;NAN")=0, 0, IF(AND(OR(#REF!=#REF!,#REF!="NAN"), OR(#REF!=#REF!,#REF!="NAN"), OR(#REF!=#REF!,#REF!="NAN")),#REF!, 0))</f>
        <v>#REF!</v>
      </c>
      <c r="E326" t="e">
        <f>IF(#REF!="NAN","",IF(
   AND(OR(#REF!=#REF!,#REF!="NAN"),
     OR(#REF!=#REF!,#REF!="NAN"),
     OR(#REF!=#REF!,#REF!="NAN")),
   1,
   0))</f>
        <v>#REF!</v>
      </c>
      <c r="G326" t="e">
        <f>IF(OR(#REF!="UP",#REF!="DOWN"),1,0)</f>
        <v>#REF!</v>
      </c>
      <c r="H326" t="e">
        <f>IF(OR(#REF!="UP",#REF!="DOWN"),1,0)</f>
        <v>#REF!</v>
      </c>
      <c r="I326" t="e">
        <f>IF(OR(#REF!="UP",#REF!="DOWN"),1,0)</f>
        <v>#REF!</v>
      </c>
      <c r="M326" t="e">
        <f>IF(OR(#REF!="UP",#REF!="DOWN"),0,1)</f>
        <v>#REF!</v>
      </c>
      <c r="N326" t="e">
        <f>IF(OR(#REF!="UP",#REF!="DOWN"),VLOOKUP($C326,Configuración!$H$2:$K$11,3),1)</f>
        <v>#REF!</v>
      </c>
      <c r="O326" t="e">
        <f>IF(OR(#REF!="UP",#REF!="DOWN"),VLOOKUP($C326,Configuración!$H$2:$K$11,4),1)</f>
        <v>#REF!</v>
      </c>
      <c r="P326" t="e">
        <f t="shared" si="53"/>
        <v>#REF!</v>
      </c>
      <c r="Q326" t="e">
        <f t="shared" si="54"/>
        <v>#REF!</v>
      </c>
      <c r="R326" t="e">
        <f t="shared" si="52"/>
        <v>#REF!</v>
      </c>
      <c r="T326" t="e">
        <f>IF(R326&lt;&gt;0,Configuración!$E$2,0)</f>
        <v>#REF!</v>
      </c>
      <c r="U326" t="e">
        <f>IF(R326&lt;&gt;0,Configuración!$F$2,0)</f>
        <v>#REF!</v>
      </c>
      <c r="V326" t="e">
        <f>IF(R326&lt;&gt;0,Configuración!$G$2,0)</f>
        <v>#REF!</v>
      </c>
      <c r="W326" t="e">
        <f t="shared" si="55"/>
        <v>#REF!</v>
      </c>
      <c r="X326" t="e">
        <f t="shared" si="56"/>
        <v>#REF!</v>
      </c>
      <c r="Z326" t="e">
        <f t="shared" si="57"/>
        <v>#REF!</v>
      </c>
      <c r="AB326" t="e">
        <f t="shared" si="58"/>
        <v>#REF!</v>
      </c>
      <c r="AG326" t="e">
        <f t="shared" si="59"/>
        <v>#REF!</v>
      </c>
      <c r="AH326" s="5" t="e">
        <f t="shared" si="60"/>
        <v>#REF!</v>
      </c>
      <c r="AI326" t="e">
        <f t="shared" si="61"/>
        <v>#REF!</v>
      </c>
    </row>
    <row r="327" spans="4:35" x14ac:dyDescent="0.55000000000000004">
      <c r="D327" t="e">
        <f>IF(COUNTIF(#REF!,"&lt;&gt;NAN")=0, 0, IF(AND(OR(#REF!=#REF!,#REF!="NAN"), OR(#REF!=#REF!,#REF!="NAN"), OR(#REF!=#REF!,#REF!="NAN")),#REF!, 0))</f>
        <v>#REF!</v>
      </c>
      <c r="E327" t="e">
        <f>IF(#REF!="NAN","",IF(
   AND(OR(#REF!=#REF!,#REF!="NAN"),
     OR(#REF!=#REF!,#REF!="NAN"),
     OR(#REF!=#REF!,#REF!="NAN")),
   1,
   0))</f>
        <v>#REF!</v>
      </c>
      <c r="G327" t="e">
        <f>IF(OR(#REF!="UP",#REF!="DOWN"),1,0)</f>
        <v>#REF!</v>
      </c>
      <c r="H327" t="e">
        <f>IF(OR(#REF!="UP",#REF!="DOWN"),1,0)</f>
        <v>#REF!</v>
      </c>
      <c r="I327" t="e">
        <f>IF(OR(#REF!="UP",#REF!="DOWN"),1,0)</f>
        <v>#REF!</v>
      </c>
      <c r="M327" t="e">
        <f>IF(OR(#REF!="UP",#REF!="DOWN"),0,1)</f>
        <v>#REF!</v>
      </c>
      <c r="N327" t="e">
        <f>IF(OR(#REF!="UP",#REF!="DOWN"),VLOOKUP($C327,Configuración!$H$2:$K$11,3),1)</f>
        <v>#REF!</v>
      </c>
      <c r="O327" t="e">
        <f>IF(OR(#REF!="UP",#REF!="DOWN"),VLOOKUP($C327,Configuración!$H$2:$K$11,4),1)</f>
        <v>#REF!</v>
      </c>
      <c r="P327" t="e">
        <f t="shared" si="53"/>
        <v>#REF!</v>
      </c>
      <c r="Q327" t="e">
        <f t="shared" si="54"/>
        <v>#REF!</v>
      </c>
      <c r="R327" t="e">
        <f t="shared" si="52"/>
        <v>#REF!</v>
      </c>
      <c r="T327" t="e">
        <f>IF(R327&lt;&gt;0,Configuración!$E$2,0)</f>
        <v>#REF!</v>
      </c>
      <c r="U327" t="e">
        <f>IF(R327&lt;&gt;0,Configuración!$F$2,0)</f>
        <v>#REF!</v>
      </c>
      <c r="V327" t="e">
        <f>IF(R327&lt;&gt;0,Configuración!$G$2,0)</f>
        <v>#REF!</v>
      </c>
      <c r="W327" t="e">
        <f t="shared" si="55"/>
        <v>#REF!</v>
      </c>
      <c r="X327" t="e">
        <f t="shared" si="56"/>
        <v>#REF!</v>
      </c>
      <c r="Z327" t="e">
        <f t="shared" si="57"/>
        <v>#REF!</v>
      </c>
      <c r="AB327" t="e">
        <f t="shared" si="58"/>
        <v>#REF!</v>
      </c>
      <c r="AG327" t="e">
        <f t="shared" si="59"/>
        <v>#REF!</v>
      </c>
      <c r="AH327" s="5" t="e">
        <f t="shared" si="60"/>
        <v>#REF!</v>
      </c>
      <c r="AI327" t="e">
        <f t="shared" si="61"/>
        <v>#REF!</v>
      </c>
    </row>
    <row r="328" spans="4:35" x14ac:dyDescent="0.55000000000000004">
      <c r="D328" t="e">
        <f>IF(COUNTIF(#REF!,"&lt;&gt;NAN")=0, 0, IF(AND(OR(#REF!=#REF!,#REF!="NAN"), OR(#REF!=#REF!,#REF!="NAN"), OR(#REF!=#REF!,#REF!="NAN")),#REF!, 0))</f>
        <v>#REF!</v>
      </c>
      <c r="E328" t="e">
        <f>IF(#REF!="NAN","",IF(
   AND(OR(#REF!=#REF!,#REF!="NAN"),
     OR(#REF!=#REF!,#REF!="NAN"),
     OR(#REF!=#REF!,#REF!="NAN")),
   1,
   0))</f>
        <v>#REF!</v>
      </c>
      <c r="G328" t="e">
        <f>IF(OR(#REF!="UP",#REF!="DOWN"),1,0)</f>
        <v>#REF!</v>
      </c>
      <c r="H328" t="e">
        <f>IF(OR(#REF!="UP",#REF!="DOWN"),1,0)</f>
        <v>#REF!</v>
      </c>
      <c r="I328" t="e">
        <f>IF(OR(#REF!="UP",#REF!="DOWN"),1,0)</f>
        <v>#REF!</v>
      </c>
      <c r="M328" t="e">
        <f>IF(OR(#REF!="UP",#REF!="DOWN"),0,1)</f>
        <v>#REF!</v>
      </c>
      <c r="N328" t="e">
        <f>IF(OR(#REF!="UP",#REF!="DOWN"),VLOOKUP($C328,Configuración!$H$2:$K$11,3),1)</f>
        <v>#REF!</v>
      </c>
      <c r="O328" t="e">
        <f>IF(OR(#REF!="UP",#REF!="DOWN"),VLOOKUP($C328,Configuración!$H$2:$K$11,4),1)</f>
        <v>#REF!</v>
      </c>
      <c r="P328" t="e">
        <f t="shared" si="53"/>
        <v>#REF!</v>
      </c>
      <c r="Q328" t="e">
        <f t="shared" si="54"/>
        <v>#REF!</v>
      </c>
      <c r="R328" t="e">
        <f t="shared" si="52"/>
        <v>#REF!</v>
      </c>
      <c r="T328" t="e">
        <f>IF(R328&lt;&gt;0,Configuración!$E$2,0)</f>
        <v>#REF!</v>
      </c>
      <c r="U328" t="e">
        <f>IF(R328&lt;&gt;0,Configuración!$F$2,0)</f>
        <v>#REF!</v>
      </c>
      <c r="V328" t="e">
        <f>IF(R328&lt;&gt;0,Configuración!$G$2,0)</f>
        <v>#REF!</v>
      </c>
      <c r="W328" t="e">
        <f t="shared" si="55"/>
        <v>#REF!</v>
      </c>
      <c r="X328" t="e">
        <f t="shared" si="56"/>
        <v>#REF!</v>
      </c>
      <c r="Z328" t="e">
        <f t="shared" si="57"/>
        <v>#REF!</v>
      </c>
      <c r="AB328" t="e">
        <f t="shared" si="58"/>
        <v>#REF!</v>
      </c>
      <c r="AG328" t="e">
        <f t="shared" si="59"/>
        <v>#REF!</v>
      </c>
      <c r="AH328" s="5" t="e">
        <f t="shared" si="60"/>
        <v>#REF!</v>
      </c>
      <c r="AI328" t="e">
        <f t="shared" si="61"/>
        <v>#REF!</v>
      </c>
    </row>
    <row r="329" spans="4:35" x14ac:dyDescent="0.55000000000000004">
      <c r="D329" t="e">
        <f>IF(COUNTIF(#REF!,"&lt;&gt;NAN")=0, 0, IF(AND(OR(#REF!=#REF!,#REF!="NAN"), OR(#REF!=#REF!,#REF!="NAN"), OR(#REF!=#REF!,#REF!="NAN")),#REF!, 0))</f>
        <v>#REF!</v>
      </c>
      <c r="E329" t="e">
        <f>IF(#REF!="NAN","",IF(
   AND(OR(#REF!=#REF!,#REF!="NAN"),
     OR(#REF!=#REF!,#REF!="NAN"),
     OR(#REF!=#REF!,#REF!="NAN")),
   1,
   0))</f>
        <v>#REF!</v>
      </c>
      <c r="G329" t="e">
        <f>IF(OR(#REF!="UP",#REF!="DOWN"),1,0)</f>
        <v>#REF!</v>
      </c>
      <c r="H329" t="e">
        <f>IF(OR(#REF!="UP",#REF!="DOWN"),1,0)</f>
        <v>#REF!</v>
      </c>
      <c r="I329" t="e">
        <f>IF(OR(#REF!="UP",#REF!="DOWN"),1,0)</f>
        <v>#REF!</v>
      </c>
      <c r="M329" t="e">
        <f>IF(OR(#REF!="UP",#REF!="DOWN"),0,1)</f>
        <v>#REF!</v>
      </c>
      <c r="N329" t="e">
        <f>IF(OR(#REF!="UP",#REF!="DOWN"),VLOOKUP($C329,Configuración!$H$2:$K$11,3),1)</f>
        <v>#REF!</v>
      </c>
      <c r="O329" t="e">
        <f>IF(OR(#REF!="UP",#REF!="DOWN"),VLOOKUP($C329,Configuración!$H$2:$K$11,4),1)</f>
        <v>#REF!</v>
      </c>
      <c r="P329" t="e">
        <f t="shared" si="53"/>
        <v>#REF!</v>
      </c>
      <c r="Q329" t="e">
        <f t="shared" si="54"/>
        <v>#REF!</v>
      </c>
      <c r="R329" t="e">
        <f t="shared" si="52"/>
        <v>#REF!</v>
      </c>
      <c r="T329" t="e">
        <f>IF(R329&lt;&gt;0,Configuración!$E$2,0)</f>
        <v>#REF!</v>
      </c>
      <c r="U329" t="e">
        <f>IF(R329&lt;&gt;0,Configuración!$F$2,0)</f>
        <v>#REF!</v>
      </c>
      <c r="V329" t="e">
        <f>IF(R329&lt;&gt;0,Configuración!$G$2,0)</f>
        <v>#REF!</v>
      </c>
      <c r="W329" t="e">
        <f t="shared" si="55"/>
        <v>#REF!</v>
      </c>
      <c r="X329" t="e">
        <f t="shared" si="56"/>
        <v>#REF!</v>
      </c>
      <c r="Z329" t="e">
        <f t="shared" si="57"/>
        <v>#REF!</v>
      </c>
      <c r="AB329" t="e">
        <f t="shared" si="58"/>
        <v>#REF!</v>
      </c>
      <c r="AG329" t="e">
        <f t="shared" si="59"/>
        <v>#REF!</v>
      </c>
      <c r="AH329" s="5" t="e">
        <f t="shared" si="60"/>
        <v>#REF!</v>
      </c>
      <c r="AI329" t="e">
        <f t="shared" si="61"/>
        <v>#REF!</v>
      </c>
    </row>
    <row r="330" spans="4:35" x14ac:dyDescent="0.55000000000000004">
      <c r="D330" t="e">
        <f>IF(COUNTIF(#REF!,"&lt;&gt;NAN")=0, 0, IF(AND(OR(#REF!=#REF!,#REF!="NAN"), OR(#REF!=#REF!,#REF!="NAN"), OR(#REF!=#REF!,#REF!="NAN")),#REF!, 0))</f>
        <v>#REF!</v>
      </c>
      <c r="E330" t="e">
        <f>IF(#REF!="NAN","",IF(
   AND(OR(#REF!=#REF!,#REF!="NAN"),
     OR(#REF!=#REF!,#REF!="NAN"),
     OR(#REF!=#REF!,#REF!="NAN")),
   1,
   0))</f>
        <v>#REF!</v>
      </c>
      <c r="G330" t="e">
        <f>IF(OR(#REF!="UP",#REF!="DOWN"),1,0)</f>
        <v>#REF!</v>
      </c>
      <c r="H330" t="e">
        <f>IF(OR(#REF!="UP",#REF!="DOWN"),1,0)</f>
        <v>#REF!</v>
      </c>
      <c r="I330" t="e">
        <f>IF(OR(#REF!="UP",#REF!="DOWN"),1,0)</f>
        <v>#REF!</v>
      </c>
      <c r="M330" t="e">
        <f>IF(OR(#REF!="UP",#REF!="DOWN"),0,1)</f>
        <v>#REF!</v>
      </c>
      <c r="N330" t="e">
        <f>IF(OR(#REF!="UP",#REF!="DOWN"),VLOOKUP($C330,Configuración!$H$2:$K$11,3),1)</f>
        <v>#REF!</v>
      </c>
      <c r="O330" t="e">
        <f>IF(OR(#REF!="UP",#REF!="DOWN"),VLOOKUP($C330,Configuración!$H$2:$K$11,4),1)</f>
        <v>#REF!</v>
      </c>
      <c r="P330" t="e">
        <f t="shared" si="53"/>
        <v>#REF!</v>
      </c>
      <c r="Q330" t="e">
        <f t="shared" si="54"/>
        <v>#REF!</v>
      </c>
      <c r="R330" t="e">
        <f t="shared" si="52"/>
        <v>#REF!</v>
      </c>
      <c r="T330" t="e">
        <f>IF(R330&lt;&gt;0,Configuración!$E$2,0)</f>
        <v>#REF!</v>
      </c>
      <c r="U330" t="e">
        <f>IF(R330&lt;&gt;0,Configuración!$F$2,0)</f>
        <v>#REF!</v>
      </c>
      <c r="V330" t="e">
        <f>IF(R330&lt;&gt;0,Configuración!$G$2,0)</f>
        <v>#REF!</v>
      </c>
      <c r="W330" t="e">
        <f t="shared" si="55"/>
        <v>#REF!</v>
      </c>
      <c r="X330" t="e">
        <f t="shared" si="56"/>
        <v>#REF!</v>
      </c>
      <c r="Z330" t="e">
        <f t="shared" si="57"/>
        <v>#REF!</v>
      </c>
      <c r="AB330" t="e">
        <f t="shared" si="58"/>
        <v>#REF!</v>
      </c>
      <c r="AG330" t="e">
        <f t="shared" si="59"/>
        <v>#REF!</v>
      </c>
      <c r="AH330" s="5" t="e">
        <f t="shared" si="60"/>
        <v>#REF!</v>
      </c>
      <c r="AI330" t="e">
        <f t="shared" si="61"/>
        <v>#REF!</v>
      </c>
    </row>
    <row r="331" spans="4:35" x14ac:dyDescent="0.55000000000000004">
      <c r="D331" t="e">
        <f>IF(COUNTIF(#REF!,"&lt;&gt;NAN")=0, 0, IF(AND(OR(#REF!=#REF!,#REF!="NAN"), OR(#REF!=#REF!,#REF!="NAN"), OR(#REF!=#REF!,#REF!="NAN")),#REF!, 0))</f>
        <v>#REF!</v>
      </c>
      <c r="E331" t="e">
        <f>IF(#REF!="NAN","",IF(
   AND(OR(#REF!=#REF!,#REF!="NAN"),
     OR(#REF!=#REF!,#REF!="NAN"),
     OR(#REF!=#REF!,#REF!="NAN")),
   1,
   0))</f>
        <v>#REF!</v>
      </c>
      <c r="G331" t="e">
        <f>IF(OR(#REF!="UP",#REF!="DOWN"),1,0)</f>
        <v>#REF!</v>
      </c>
      <c r="H331" t="e">
        <f>IF(OR(#REF!="UP",#REF!="DOWN"),1,0)</f>
        <v>#REF!</v>
      </c>
      <c r="I331" t="e">
        <f>IF(OR(#REF!="UP",#REF!="DOWN"),1,0)</f>
        <v>#REF!</v>
      </c>
      <c r="M331" t="e">
        <f>IF(OR(#REF!="UP",#REF!="DOWN"),0,1)</f>
        <v>#REF!</v>
      </c>
      <c r="N331" t="e">
        <f>IF(OR(#REF!="UP",#REF!="DOWN"),VLOOKUP($C331,Configuración!$H$2:$K$11,3),1)</f>
        <v>#REF!</v>
      </c>
      <c r="O331" t="e">
        <f>IF(OR(#REF!="UP",#REF!="DOWN"),VLOOKUP($C331,Configuración!$H$2:$K$11,4),1)</f>
        <v>#REF!</v>
      </c>
      <c r="P331" t="e">
        <f t="shared" si="53"/>
        <v>#REF!</v>
      </c>
      <c r="Q331" t="e">
        <f t="shared" si="54"/>
        <v>#REF!</v>
      </c>
      <c r="R331" t="e">
        <f t="shared" si="52"/>
        <v>#REF!</v>
      </c>
      <c r="T331" t="e">
        <f>IF(R331&lt;&gt;0,Configuración!$E$2,0)</f>
        <v>#REF!</v>
      </c>
      <c r="U331" t="e">
        <f>IF(R331&lt;&gt;0,Configuración!$F$2,0)</f>
        <v>#REF!</v>
      </c>
      <c r="V331" t="e">
        <f>IF(R331&lt;&gt;0,Configuración!$G$2,0)</f>
        <v>#REF!</v>
      </c>
      <c r="W331" t="e">
        <f t="shared" si="55"/>
        <v>#REF!</v>
      </c>
      <c r="X331" t="e">
        <f t="shared" si="56"/>
        <v>#REF!</v>
      </c>
      <c r="Z331" t="e">
        <f t="shared" si="57"/>
        <v>#REF!</v>
      </c>
      <c r="AB331" t="e">
        <f t="shared" si="58"/>
        <v>#REF!</v>
      </c>
      <c r="AG331" t="e">
        <f t="shared" si="59"/>
        <v>#REF!</v>
      </c>
      <c r="AH331" s="5" t="e">
        <f t="shared" si="60"/>
        <v>#REF!</v>
      </c>
      <c r="AI331" t="e">
        <f t="shared" si="61"/>
        <v>#REF!</v>
      </c>
    </row>
    <row r="332" spans="4:35" x14ac:dyDescent="0.55000000000000004">
      <c r="D332" t="e">
        <f>IF(COUNTIF(#REF!,"&lt;&gt;NAN")=0, 0, IF(AND(OR(#REF!=#REF!,#REF!="NAN"), OR(#REF!=#REF!,#REF!="NAN"), OR(#REF!=#REF!,#REF!="NAN")),#REF!, 0))</f>
        <v>#REF!</v>
      </c>
      <c r="E332" t="e">
        <f>IF(#REF!="NAN","",IF(
   AND(OR(#REF!=#REF!,#REF!="NAN"),
     OR(#REF!=#REF!,#REF!="NAN"),
     OR(#REF!=#REF!,#REF!="NAN")),
   1,
   0))</f>
        <v>#REF!</v>
      </c>
      <c r="G332" t="e">
        <f>IF(OR(#REF!="UP",#REF!="DOWN"),1,0)</f>
        <v>#REF!</v>
      </c>
      <c r="H332" t="e">
        <f>IF(OR(#REF!="UP",#REF!="DOWN"),1,0)</f>
        <v>#REF!</v>
      </c>
      <c r="I332" t="e">
        <f>IF(OR(#REF!="UP",#REF!="DOWN"),1,0)</f>
        <v>#REF!</v>
      </c>
      <c r="M332" t="e">
        <f>IF(OR(#REF!="UP",#REF!="DOWN"),0,1)</f>
        <v>#REF!</v>
      </c>
      <c r="N332" t="e">
        <f>IF(OR(#REF!="UP",#REF!="DOWN"),VLOOKUP($C332,Configuración!$H$2:$K$11,3),1)</f>
        <v>#REF!</v>
      </c>
      <c r="O332" t="e">
        <f>IF(OR(#REF!="UP",#REF!="DOWN"),VLOOKUP($C332,Configuración!$H$2:$K$11,4),1)</f>
        <v>#REF!</v>
      </c>
      <c r="P332" t="e">
        <f t="shared" si="53"/>
        <v>#REF!</v>
      </c>
      <c r="Q332" t="e">
        <f t="shared" si="54"/>
        <v>#REF!</v>
      </c>
      <c r="R332" t="e">
        <f t="shared" si="52"/>
        <v>#REF!</v>
      </c>
      <c r="T332" t="e">
        <f>IF(R332&lt;&gt;0,Configuración!$E$2,0)</f>
        <v>#REF!</v>
      </c>
      <c r="U332" t="e">
        <f>IF(R332&lt;&gt;0,Configuración!$F$2,0)</f>
        <v>#REF!</v>
      </c>
      <c r="V332" t="e">
        <f>IF(R332&lt;&gt;0,Configuración!$G$2,0)</f>
        <v>#REF!</v>
      </c>
      <c r="W332" t="e">
        <f t="shared" si="55"/>
        <v>#REF!</v>
      </c>
      <c r="X332" t="e">
        <f t="shared" si="56"/>
        <v>#REF!</v>
      </c>
      <c r="Z332" t="e">
        <f t="shared" si="57"/>
        <v>#REF!</v>
      </c>
      <c r="AB332" t="e">
        <f t="shared" si="58"/>
        <v>#REF!</v>
      </c>
      <c r="AG332" t="e">
        <f t="shared" si="59"/>
        <v>#REF!</v>
      </c>
      <c r="AH332" s="5" t="e">
        <f t="shared" si="60"/>
        <v>#REF!</v>
      </c>
      <c r="AI332" t="e">
        <f t="shared" si="61"/>
        <v>#REF!</v>
      </c>
    </row>
    <row r="333" spans="4:35" x14ac:dyDescent="0.55000000000000004">
      <c r="D333" t="e">
        <f>IF(COUNTIF(#REF!,"&lt;&gt;NAN")=0, 0, IF(AND(OR(#REF!=#REF!,#REF!="NAN"), OR(#REF!=#REF!,#REF!="NAN"), OR(#REF!=#REF!,#REF!="NAN")),#REF!, 0))</f>
        <v>#REF!</v>
      </c>
      <c r="E333" t="e">
        <f>IF(#REF!="NAN","",IF(
   AND(OR(#REF!=#REF!,#REF!="NAN"),
     OR(#REF!=#REF!,#REF!="NAN"),
     OR(#REF!=#REF!,#REF!="NAN")),
   1,
   0))</f>
        <v>#REF!</v>
      </c>
      <c r="G333" t="e">
        <f>IF(OR(#REF!="UP",#REF!="DOWN"),1,0)</f>
        <v>#REF!</v>
      </c>
      <c r="H333" t="e">
        <f>IF(OR(#REF!="UP",#REF!="DOWN"),1,0)</f>
        <v>#REF!</v>
      </c>
      <c r="I333" t="e">
        <f>IF(OR(#REF!="UP",#REF!="DOWN"),1,0)</f>
        <v>#REF!</v>
      </c>
      <c r="M333" t="e">
        <f>IF(OR(#REF!="UP",#REF!="DOWN"),0,1)</f>
        <v>#REF!</v>
      </c>
      <c r="N333" t="e">
        <f>IF(OR(#REF!="UP",#REF!="DOWN"),VLOOKUP($C333,Configuración!$H$2:$K$11,3),1)</f>
        <v>#REF!</v>
      </c>
      <c r="O333" t="e">
        <f>IF(OR(#REF!="UP",#REF!="DOWN"),VLOOKUP($C333,Configuración!$H$2:$K$11,4),1)</f>
        <v>#REF!</v>
      </c>
      <c r="P333" t="e">
        <f t="shared" si="53"/>
        <v>#REF!</v>
      </c>
      <c r="Q333" t="e">
        <f t="shared" si="54"/>
        <v>#REF!</v>
      </c>
      <c r="R333" t="e">
        <f t="shared" si="52"/>
        <v>#REF!</v>
      </c>
      <c r="T333" t="e">
        <f>IF(R333&lt;&gt;0,Configuración!$E$2,0)</f>
        <v>#REF!</v>
      </c>
      <c r="U333" t="e">
        <f>IF(R333&lt;&gt;0,Configuración!$F$2,0)</f>
        <v>#REF!</v>
      </c>
      <c r="V333" t="e">
        <f>IF(R333&lt;&gt;0,Configuración!$G$2,0)</f>
        <v>#REF!</v>
      </c>
      <c r="W333" t="e">
        <f t="shared" si="55"/>
        <v>#REF!</v>
      </c>
      <c r="X333" t="e">
        <f t="shared" si="56"/>
        <v>#REF!</v>
      </c>
      <c r="Z333" t="e">
        <f t="shared" si="57"/>
        <v>#REF!</v>
      </c>
      <c r="AB333" t="e">
        <f t="shared" si="58"/>
        <v>#REF!</v>
      </c>
      <c r="AG333" t="e">
        <f t="shared" si="59"/>
        <v>#REF!</v>
      </c>
      <c r="AH333" s="5" t="e">
        <f t="shared" si="60"/>
        <v>#REF!</v>
      </c>
      <c r="AI333" t="e">
        <f t="shared" si="61"/>
        <v>#REF!</v>
      </c>
    </row>
    <row r="334" spans="4:35" x14ac:dyDescent="0.55000000000000004">
      <c r="D334" t="e">
        <f>IF(COUNTIF(#REF!,"&lt;&gt;NAN")=0, 0, IF(AND(OR(#REF!=#REF!,#REF!="NAN"), OR(#REF!=#REF!,#REF!="NAN"), OR(#REF!=#REF!,#REF!="NAN")),#REF!, 0))</f>
        <v>#REF!</v>
      </c>
      <c r="E334" t="e">
        <f>IF(#REF!="NAN","",IF(
   AND(OR(#REF!=#REF!,#REF!="NAN"),
     OR(#REF!=#REF!,#REF!="NAN"),
     OR(#REF!=#REF!,#REF!="NAN")),
   1,
   0))</f>
        <v>#REF!</v>
      </c>
      <c r="G334" t="e">
        <f>IF(OR(#REF!="UP",#REF!="DOWN"),1,0)</f>
        <v>#REF!</v>
      </c>
      <c r="H334" t="e">
        <f>IF(OR(#REF!="UP",#REF!="DOWN"),1,0)</f>
        <v>#REF!</v>
      </c>
      <c r="I334" t="e">
        <f>IF(OR(#REF!="UP",#REF!="DOWN"),1,0)</f>
        <v>#REF!</v>
      </c>
      <c r="M334" t="e">
        <f>IF(OR(#REF!="UP",#REF!="DOWN"),0,1)</f>
        <v>#REF!</v>
      </c>
      <c r="N334" t="e">
        <f>IF(OR(#REF!="UP",#REF!="DOWN"),VLOOKUP($C334,Configuración!$H$2:$K$11,3),1)</f>
        <v>#REF!</v>
      </c>
      <c r="O334" t="e">
        <f>IF(OR(#REF!="UP",#REF!="DOWN"),VLOOKUP($C334,Configuración!$H$2:$K$11,4),1)</f>
        <v>#REF!</v>
      </c>
      <c r="P334" t="e">
        <f t="shared" si="53"/>
        <v>#REF!</v>
      </c>
      <c r="Q334" t="e">
        <f t="shared" si="54"/>
        <v>#REF!</v>
      </c>
      <c r="R334" t="e">
        <f t="shared" si="52"/>
        <v>#REF!</v>
      </c>
      <c r="T334" t="e">
        <f>IF(R334&lt;&gt;0,Configuración!$E$2,0)</f>
        <v>#REF!</v>
      </c>
      <c r="U334" t="e">
        <f>IF(R334&lt;&gt;0,Configuración!$F$2,0)</f>
        <v>#REF!</v>
      </c>
      <c r="V334" t="e">
        <f>IF(R334&lt;&gt;0,Configuración!$G$2,0)</f>
        <v>#REF!</v>
      </c>
      <c r="W334" t="e">
        <f t="shared" si="55"/>
        <v>#REF!</v>
      </c>
      <c r="X334" t="e">
        <f t="shared" si="56"/>
        <v>#REF!</v>
      </c>
      <c r="Z334" t="e">
        <f t="shared" si="57"/>
        <v>#REF!</v>
      </c>
      <c r="AB334" t="e">
        <f t="shared" si="58"/>
        <v>#REF!</v>
      </c>
      <c r="AG334" t="e">
        <f t="shared" si="59"/>
        <v>#REF!</v>
      </c>
      <c r="AH334" s="5" t="e">
        <f t="shared" si="60"/>
        <v>#REF!</v>
      </c>
      <c r="AI334" t="e">
        <f t="shared" si="61"/>
        <v>#REF!</v>
      </c>
    </row>
    <row r="335" spans="4:35" x14ac:dyDescent="0.55000000000000004">
      <c r="D335" t="e">
        <f>IF(COUNTIF(#REF!,"&lt;&gt;NAN")=0, 0, IF(AND(OR(#REF!=#REF!,#REF!="NAN"), OR(#REF!=#REF!,#REF!="NAN"), OR(#REF!=#REF!,#REF!="NAN")),#REF!, 0))</f>
        <v>#REF!</v>
      </c>
      <c r="E335" t="e">
        <f>IF(#REF!="NAN","",IF(
   AND(OR(#REF!=#REF!,#REF!="NAN"),
     OR(#REF!=#REF!,#REF!="NAN"),
     OR(#REF!=#REF!,#REF!="NAN")),
   1,
   0))</f>
        <v>#REF!</v>
      </c>
      <c r="G335" t="e">
        <f>IF(OR(#REF!="UP",#REF!="DOWN"),1,0)</f>
        <v>#REF!</v>
      </c>
      <c r="H335" t="e">
        <f>IF(OR(#REF!="UP",#REF!="DOWN"),1,0)</f>
        <v>#REF!</v>
      </c>
      <c r="I335" t="e">
        <f>IF(OR(#REF!="UP",#REF!="DOWN"),1,0)</f>
        <v>#REF!</v>
      </c>
      <c r="M335" t="e">
        <f>IF(OR(#REF!="UP",#REF!="DOWN"),0,1)</f>
        <v>#REF!</v>
      </c>
      <c r="N335" t="e">
        <f>IF(OR(#REF!="UP",#REF!="DOWN"),VLOOKUP($C335,Configuración!$H$2:$K$11,3),1)</f>
        <v>#REF!</v>
      </c>
      <c r="O335" t="e">
        <f>IF(OR(#REF!="UP",#REF!="DOWN"),VLOOKUP($C335,Configuración!$H$2:$K$11,4),1)</f>
        <v>#REF!</v>
      </c>
      <c r="P335" t="e">
        <f t="shared" si="53"/>
        <v>#REF!</v>
      </c>
      <c r="Q335" t="e">
        <f t="shared" si="54"/>
        <v>#REF!</v>
      </c>
      <c r="R335" t="e">
        <f t="shared" si="52"/>
        <v>#REF!</v>
      </c>
      <c r="T335" t="e">
        <f>IF(R335&lt;&gt;0,Configuración!$E$2,0)</f>
        <v>#REF!</v>
      </c>
      <c r="U335" t="e">
        <f>IF(R335&lt;&gt;0,Configuración!$F$2,0)</f>
        <v>#REF!</v>
      </c>
      <c r="V335" t="e">
        <f>IF(R335&lt;&gt;0,Configuración!$G$2,0)</f>
        <v>#REF!</v>
      </c>
      <c r="W335" t="e">
        <f t="shared" si="55"/>
        <v>#REF!</v>
      </c>
      <c r="X335" t="e">
        <f t="shared" si="56"/>
        <v>#REF!</v>
      </c>
      <c r="Z335" t="e">
        <f t="shared" si="57"/>
        <v>#REF!</v>
      </c>
      <c r="AB335" t="e">
        <f t="shared" si="58"/>
        <v>#REF!</v>
      </c>
      <c r="AG335" t="e">
        <f t="shared" si="59"/>
        <v>#REF!</v>
      </c>
      <c r="AH335" s="5" t="e">
        <f t="shared" si="60"/>
        <v>#REF!</v>
      </c>
      <c r="AI335" t="e">
        <f t="shared" si="61"/>
        <v>#REF!</v>
      </c>
    </row>
    <row r="336" spans="4:35" x14ac:dyDescent="0.55000000000000004">
      <c r="D336" t="e">
        <f>IF(COUNTIF(#REF!,"&lt;&gt;NAN")=0, 0, IF(AND(OR(#REF!=#REF!,#REF!="NAN"), OR(#REF!=#REF!,#REF!="NAN"), OR(#REF!=#REF!,#REF!="NAN")),#REF!, 0))</f>
        <v>#REF!</v>
      </c>
      <c r="E336" t="e">
        <f>IF(#REF!="NAN","",IF(
   AND(OR(#REF!=#REF!,#REF!="NAN"),
     OR(#REF!=#REF!,#REF!="NAN"),
     OR(#REF!=#REF!,#REF!="NAN")),
   1,
   0))</f>
        <v>#REF!</v>
      </c>
      <c r="G336" t="e">
        <f>IF(OR(#REF!="UP",#REF!="DOWN"),1,0)</f>
        <v>#REF!</v>
      </c>
      <c r="H336" t="e">
        <f>IF(OR(#REF!="UP",#REF!="DOWN"),1,0)</f>
        <v>#REF!</v>
      </c>
      <c r="I336" t="e">
        <f>IF(OR(#REF!="UP",#REF!="DOWN"),1,0)</f>
        <v>#REF!</v>
      </c>
      <c r="M336" t="e">
        <f>IF(OR(#REF!="UP",#REF!="DOWN"),0,1)</f>
        <v>#REF!</v>
      </c>
      <c r="N336" t="e">
        <f>IF(OR(#REF!="UP",#REF!="DOWN"),VLOOKUP($C336,Configuración!$H$2:$K$11,3),1)</f>
        <v>#REF!</v>
      </c>
      <c r="O336" t="e">
        <f>IF(OR(#REF!="UP",#REF!="DOWN"),VLOOKUP($C336,Configuración!$H$2:$K$11,4),1)</f>
        <v>#REF!</v>
      </c>
      <c r="P336" t="e">
        <f t="shared" si="53"/>
        <v>#REF!</v>
      </c>
      <c r="Q336" t="e">
        <f t="shared" si="54"/>
        <v>#REF!</v>
      </c>
      <c r="R336" t="e">
        <f t="shared" si="52"/>
        <v>#REF!</v>
      </c>
      <c r="T336" t="e">
        <f>IF(R336&lt;&gt;0,Configuración!$E$2,0)</f>
        <v>#REF!</v>
      </c>
      <c r="U336" t="e">
        <f>IF(R336&lt;&gt;0,Configuración!$F$2,0)</f>
        <v>#REF!</v>
      </c>
      <c r="V336" t="e">
        <f>IF(R336&lt;&gt;0,Configuración!$G$2,0)</f>
        <v>#REF!</v>
      </c>
      <c r="W336" t="e">
        <f t="shared" si="55"/>
        <v>#REF!</v>
      </c>
      <c r="X336" t="e">
        <f t="shared" si="56"/>
        <v>#REF!</v>
      </c>
      <c r="Z336" t="e">
        <f t="shared" si="57"/>
        <v>#REF!</v>
      </c>
      <c r="AB336" t="e">
        <f t="shared" si="58"/>
        <v>#REF!</v>
      </c>
      <c r="AG336" t="e">
        <f t="shared" si="59"/>
        <v>#REF!</v>
      </c>
      <c r="AH336" s="5" t="e">
        <f t="shared" si="60"/>
        <v>#REF!</v>
      </c>
      <c r="AI336" t="e">
        <f t="shared" si="61"/>
        <v>#REF!</v>
      </c>
    </row>
    <row r="337" spans="4:35" x14ac:dyDescent="0.55000000000000004">
      <c r="D337" t="e">
        <f>IF(COUNTIF(#REF!,"&lt;&gt;NAN")=0, 0, IF(AND(OR(#REF!=#REF!,#REF!="NAN"), OR(#REF!=#REF!,#REF!="NAN"), OR(#REF!=#REF!,#REF!="NAN")),#REF!, 0))</f>
        <v>#REF!</v>
      </c>
      <c r="E337" t="e">
        <f>IF(#REF!="NAN","",IF(
   AND(OR(#REF!=#REF!,#REF!="NAN"),
     OR(#REF!=#REF!,#REF!="NAN"),
     OR(#REF!=#REF!,#REF!="NAN")),
   1,
   0))</f>
        <v>#REF!</v>
      </c>
      <c r="G337" t="e">
        <f>IF(OR(#REF!="UP",#REF!="DOWN"),1,0)</f>
        <v>#REF!</v>
      </c>
      <c r="H337" t="e">
        <f>IF(OR(#REF!="UP",#REF!="DOWN"),1,0)</f>
        <v>#REF!</v>
      </c>
      <c r="I337" t="e">
        <f>IF(OR(#REF!="UP",#REF!="DOWN"),1,0)</f>
        <v>#REF!</v>
      </c>
      <c r="M337" t="e">
        <f>IF(OR(#REF!="UP",#REF!="DOWN"),0,1)</f>
        <v>#REF!</v>
      </c>
      <c r="N337" t="e">
        <f>IF(OR(#REF!="UP",#REF!="DOWN"),VLOOKUP($C337,Configuración!$H$2:$K$11,3),1)</f>
        <v>#REF!</v>
      </c>
      <c r="O337" t="e">
        <f>IF(OR(#REF!="UP",#REF!="DOWN"),VLOOKUP($C337,Configuración!$H$2:$K$11,4),1)</f>
        <v>#REF!</v>
      </c>
      <c r="P337" t="e">
        <f t="shared" si="53"/>
        <v>#REF!</v>
      </c>
      <c r="Q337" t="e">
        <f t="shared" si="54"/>
        <v>#REF!</v>
      </c>
      <c r="R337" t="e">
        <f t="shared" si="52"/>
        <v>#REF!</v>
      </c>
      <c r="T337" t="e">
        <f>IF(R337&lt;&gt;0,Configuración!$E$2,0)</f>
        <v>#REF!</v>
      </c>
      <c r="U337" t="e">
        <f>IF(R337&lt;&gt;0,Configuración!$F$2,0)</f>
        <v>#REF!</v>
      </c>
      <c r="V337" t="e">
        <f>IF(R337&lt;&gt;0,Configuración!$G$2,0)</f>
        <v>#REF!</v>
      </c>
      <c r="W337" t="e">
        <f t="shared" si="55"/>
        <v>#REF!</v>
      </c>
      <c r="X337" t="e">
        <f t="shared" si="56"/>
        <v>#REF!</v>
      </c>
      <c r="Z337" t="e">
        <f t="shared" si="57"/>
        <v>#REF!</v>
      </c>
      <c r="AB337" t="e">
        <f t="shared" si="58"/>
        <v>#REF!</v>
      </c>
      <c r="AG337" t="e">
        <f t="shared" si="59"/>
        <v>#REF!</v>
      </c>
      <c r="AH337" s="5" t="e">
        <f t="shared" si="60"/>
        <v>#REF!</v>
      </c>
      <c r="AI337" t="e">
        <f t="shared" si="61"/>
        <v>#REF!</v>
      </c>
    </row>
    <row r="338" spans="4:35" x14ac:dyDescent="0.55000000000000004">
      <c r="D338" t="e">
        <f>IF(COUNTIF(#REF!,"&lt;&gt;NAN")=0, 0, IF(AND(OR(#REF!=#REF!,#REF!="NAN"), OR(#REF!=#REF!,#REF!="NAN"), OR(#REF!=#REF!,#REF!="NAN")),#REF!, 0))</f>
        <v>#REF!</v>
      </c>
      <c r="E338" t="e">
        <f>IF(#REF!="NAN","",IF(
   AND(OR(#REF!=#REF!,#REF!="NAN"),
     OR(#REF!=#REF!,#REF!="NAN"),
     OR(#REF!=#REF!,#REF!="NAN")),
   1,
   0))</f>
        <v>#REF!</v>
      </c>
      <c r="G338" t="e">
        <f>IF(OR(#REF!="UP",#REF!="DOWN"),1,0)</f>
        <v>#REF!</v>
      </c>
      <c r="H338" t="e">
        <f>IF(OR(#REF!="UP",#REF!="DOWN"),1,0)</f>
        <v>#REF!</v>
      </c>
      <c r="I338" t="e">
        <f>IF(OR(#REF!="UP",#REF!="DOWN"),1,0)</f>
        <v>#REF!</v>
      </c>
      <c r="M338" t="e">
        <f>IF(OR(#REF!="UP",#REF!="DOWN"),0,1)</f>
        <v>#REF!</v>
      </c>
      <c r="N338" t="e">
        <f>IF(OR(#REF!="UP",#REF!="DOWN"),VLOOKUP($C338,Configuración!$H$2:$K$11,3),1)</f>
        <v>#REF!</v>
      </c>
      <c r="O338" t="e">
        <f>IF(OR(#REF!="UP",#REF!="DOWN"),VLOOKUP($C338,Configuración!$H$2:$K$11,4),1)</f>
        <v>#REF!</v>
      </c>
      <c r="P338" t="e">
        <f t="shared" si="53"/>
        <v>#REF!</v>
      </c>
      <c r="Q338" t="e">
        <f t="shared" si="54"/>
        <v>#REF!</v>
      </c>
      <c r="R338" t="e">
        <f t="shared" si="52"/>
        <v>#REF!</v>
      </c>
      <c r="T338" t="e">
        <f>IF(R338&lt;&gt;0,Configuración!$E$2,0)</f>
        <v>#REF!</v>
      </c>
      <c r="U338" t="e">
        <f>IF(R338&lt;&gt;0,Configuración!$F$2,0)</f>
        <v>#REF!</v>
      </c>
      <c r="V338" t="e">
        <f>IF(R338&lt;&gt;0,Configuración!$G$2,0)</f>
        <v>#REF!</v>
      </c>
      <c r="W338" t="e">
        <f t="shared" si="55"/>
        <v>#REF!</v>
      </c>
      <c r="X338" t="e">
        <f t="shared" si="56"/>
        <v>#REF!</v>
      </c>
      <c r="Z338" t="e">
        <f t="shared" si="57"/>
        <v>#REF!</v>
      </c>
      <c r="AB338" t="e">
        <f t="shared" si="58"/>
        <v>#REF!</v>
      </c>
      <c r="AG338" t="e">
        <f t="shared" si="59"/>
        <v>#REF!</v>
      </c>
      <c r="AH338" s="5" t="e">
        <f t="shared" si="60"/>
        <v>#REF!</v>
      </c>
      <c r="AI338" t="e">
        <f t="shared" si="61"/>
        <v>#REF!</v>
      </c>
    </row>
    <row r="339" spans="4:35" x14ac:dyDescent="0.55000000000000004">
      <c r="D339" t="e">
        <f>IF(COUNTIF(#REF!,"&lt;&gt;NAN")=0, 0, IF(AND(OR(#REF!=#REF!,#REF!="NAN"), OR(#REF!=#REF!,#REF!="NAN"), OR(#REF!=#REF!,#REF!="NAN")),#REF!, 0))</f>
        <v>#REF!</v>
      </c>
      <c r="E339" t="e">
        <f>IF(#REF!="NAN","",IF(
   AND(OR(#REF!=#REF!,#REF!="NAN"),
     OR(#REF!=#REF!,#REF!="NAN"),
     OR(#REF!=#REF!,#REF!="NAN")),
   1,
   0))</f>
        <v>#REF!</v>
      </c>
      <c r="G339" t="e">
        <f>IF(OR(#REF!="UP",#REF!="DOWN"),1,0)</f>
        <v>#REF!</v>
      </c>
      <c r="H339" t="e">
        <f>IF(OR(#REF!="UP",#REF!="DOWN"),1,0)</f>
        <v>#REF!</v>
      </c>
      <c r="I339" t="e">
        <f>IF(OR(#REF!="UP",#REF!="DOWN"),1,0)</f>
        <v>#REF!</v>
      </c>
      <c r="M339" t="e">
        <f>IF(OR(#REF!="UP",#REF!="DOWN"),0,1)</f>
        <v>#REF!</v>
      </c>
      <c r="N339" t="e">
        <f>IF(OR(#REF!="UP",#REF!="DOWN"),VLOOKUP($C339,Configuración!$H$2:$K$11,3),1)</f>
        <v>#REF!</v>
      </c>
      <c r="O339" t="e">
        <f>IF(OR(#REF!="UP",#REF!="DOWN"),VLOOKUP($C339,Configuración!$H$2:$K$11,4),1)</f>
        <v>#REF!</v>
      </c>
      <c r="P339" t="e">
        <f t="shared" si="53"/>
        <v>#REF!</v>
      </c>
      <c r="Q339" t="e">
        <f t="shared" si="54"/>
        <v>#REF!</v>
      </c>
      <c r="R339" t="e">
        <f t="shared" si="52"/>
        <v>#REF!</v>
      </c>
      <c r="T339" t="e">
        <f>IF(R339&lt;&gt;0,Configuración!$E$2,0)</f>
        <v>#REF!</v>
      </c>
      <c r="U339" t="e">
        <f>IF(R339&lt;&gt;0,Configuración!$F$2,0)</f>
        <v>#REF!</v>
      </c>
      <c r="V339" t="e">
        <f>IF(R339&lt;&gt;0,Configuración!$G$2,0)</f>
        <v>#REF!</v>
      </c>
      <c r="W339" t="e">
        <f t="shared" si="55"/>
        <v>#REF!</v>
      </c>
      <c r="X339" t="e">
        <f t="shared" si="56"/>
        <v>#REF!</v>
      </c>
      <c r="Z339" t="e">
        <f t="shared" si="57"/>
        <v>#REF!</v>
      </c>
      <c r="AB339" t="e">
        <f t="shared" si="58"/>
        <v>#REF!</v>
      </c>
      <c r="AG339" t="e">
        <f t="shared" si="59"/>
        <v>#REF!</v>
      </c>
      <c r="AH339" s="5" t="e">
        <f t="shared" si="60"/>
        <v>#REF!</v>
      </c>
      <c r="AI339" t="e">
        <f t="shared" si="61"/>
        <v>#REF!</v>
      </c>
    </row>
    <row r="340" spans="4:35" x14ac:dyDescent="0.55000000000000004">
      <c r="D340" t="e">
        <f>IF(COUNTIF(#REF!,"&lt;&gt;NAN")=0, 0, IF(AND(OR(#REF!=#REF!,#REF!="NAN"), OR(#REF!=#REF!,#REF!="NAN"), OR(#REF!=#REF!,#REF!="NAN")),#REF!, 0))</f>
        <v>#REF!</v>
      </c>
      <c r="E340" t="e">
        <f>IF(#REF!="NAN","",IF(
   AND(OR(#REF!=#REF!,#REF!="NAN"),
     OR(#REF!=#REF!,#REF!="NAN"),
     OR(#REF!=#REF!,#REF!="NAN")),
   1,
   0))</f>
        <v>#REF!</v>
      </c>
      <c r="G340" t="e">
        <f>IF(OR(#REF!="UP",#REF!="DOWN"),1,0)</f>
        <v>#REF!</v>
      </c>
      <c r="H340" t="e">
        <f>IF(OR(#REF!="UP",#REF!="DOWN"),1,0)</f>
        <v>#REF!</v>
      </c>
      <c r="I340" t="e">
        <f>IF(OR(#REF!="UP",#REF!="DOWN"),1,0)</f>
        <v>#REF!</v>
      </c>
      <c r="M340" t="e">
        <f>IF(OR(#REF!="UP",#REF!="DOWN"),0,1)</f>
        <v>#REF!</v>
      </c>
      <c r="N340" t="e">
        <f>IF(OR(#REF!="UP",#REF!="DOWN"),VLOOKUP($C340,Configuración!$H$2:$K$11,3),1)</f>
        <v>#REF!</v>
      </c>
      <c r="O340" t="e">
        <f>IF(OR(#REF!="UP",#REF!="DOWN"),VLOOKUP($C340,Configuración!$H$2:$K$11,4),1)</f>
        <v>#REF!</v>
      </c>
      <c r="P340" t="e">
        <f t="shared" si="53"/>
        <v>#REF!</v>
      </c>
      <c r="Q340" t="e">
        <f t="shared" si="54"/>
        <v>#REF!</v>
      </c>
      <c r="R340" t="e">
        <f t="shared" si="52"/>
        <v>#REF!</v>
      </c>
      <c r="T340" t="e">
        <f>IF(R340&lt;&gt;0,Configuración!$E$2,0)</f>
        <v>#REF!</v>
      </c>
      <c r="U340" t="e">
        <f>IF(R340&lt;&gt;0,Configuración!$F$2,0)</f>
        <v>#REF!</v>
      </c>
      <c r="V340" t="e">
        <f>IF(R340&lt;&gt;0,Configuración!$G$2,0)</f>
        <v>#REF!</v>
      </c>
      <c r="W340" t="e">
        <f t="shared" si="55"/>
        <v>#REF!</v>
      </c>
      <c r="X340" t="e">
        <f t="shared" si="56"/>
        <v>#REF!</v>
      </c>
      <c r="Z340" t="e">
        <f t="shared" si="57"/>
        <v>#REF!</v>
      </c>
      <c r="AB340" t="e">
        <f t="shared" si="58"/>
        <v>#REF!</v>
      </c>
      <c r="AG340" t="e">
        <f t="shared" si="59"/>
        <v>#REF!</v>
      </c>
      <c r="AH340" s="5" t="e">
        <f t="shared" si="60"/>
        <v>#REF!</v>
      </c>
      <c r="AI340" t="e">
        <f t="shared" si="61"/>
        <v>#REF!</v>
      </c>
    </row>
    <row r="341" spans="4:35" x14ac:dyDescent="0.55000000000000004">
      <c r="D341" t="e">
        <f>IF(COUNTIF(#REF!,"&lt;&gt;NAN")=0, 0, IF(AND(OR(#REF!=#REF!,#REF!="NAN"), OR(#REF!=#REF!,#REF!="NAN"), OR(#REF!=#REF!,#REF!="NAN")),#REF!, 0))</f>
        <v>#REF!</v>
      </c>
      <c r="E341" t="e">
        <f>IF(#REF!="NAN","",IF(
   AND(OR(#REF!=#REF!,#REF!="NAN"),
     OR(#REF!=#REF!,#REF!="NAN"),
     OR(#REF!=#REF!,#REF!="NAN")),
   1,
   0))</f>
        <v>#REF!</v>
      </c>
      <c r="G341" t="e">
        <f>IF(OR(#REF!="UP",#REF!="DOWN"),1,0)</f>
        <v>#REF!</v>
      </c>
      <c r="H341" t="e">
        <f>IF(OR(#REF!="UP",#REF!="DOWN"),1,0)</f>
        <v>#REF!</v>
      </c>
      <c r="I341" t="e">
        <f>IF(OR(#REF!="UP",#REF!="DOWN"),1,0)</f>
        <v>#REF!</v>
      </c>
      <c r="M341" t="e">
        <f>IF(OR(#REF!="UP",#REF!="DOWN"),0,1)</f>
        <v>#REF!</v>
      </c>
      <c r="N341" t="e">
        <f>IF(OR(#REF!="UP",#REF!="DOWN"),VLOOKUP($C341,Configuración!$H$2:$K$11,3),1)</f>
        <v>#REF!</v>
      </c>
      <c r="O341" t="e">
        <f>IF(OR(#REF!="UP",#REF!="DOWN"),VLOOKUP($C341,Configuración!$H$2:$K$11,4),1)</f>
        <v>#REF!</v>
      </c>
      <c r="P341" t="e">
        <f t="shared" si="53"/>
        <v>#REF!</v>
      </c>
      <c r="Q341" t="e">
        <f t="shared" si="54"/>
        <v>#REF!</v>
      </c>
      <c r="R341" t="e">
        <f t="shared" si="52"/>
        <v>#REF!</v>
      </c>
      <c r="T341" t="e">
        <f>IF(R341&lt;&gt;0,Configuración!$E$2,0)</f>
        <v>#REF!</v>
      </c>
      <c r="U341" t="e">
        <f>IF(R341&lt;&gt;0,Configuración!$F$2,0)</f>
        <v>#REF!</v>
      </c>
      <c r="V341" t="e">
        <f>IF(R341&lt;&gt;0,Configuración!$G$2,0)</f>
        <v>#REF!</v>
      </c>
      <c r="W341" t="e">
        <f t="shared" si="55"/>
        <v>#REF!</v>
      </c>
      <c r="X341" t="e">
        <f t="shared" si="56"/>
        <v>#REF!</v>
      </c>
      <c r="Z341" t="e">
        <f t="shared" si="57"/>
        <v>#REF!</v>
      </c>
      <c r="AB341" t="e">
        <f t="shared" si="58"/>
        <v>#REF!</v>
      </c>
      <c r="AG341" t="e">
        <f t="shared" si="59"/>
        <v>#REF!</v>
      </c>
      <c r="AH341" s="5" t="e">
        <f t="shared" si="60"/>
        <v>#REF!</v>
      </c>
      <c r="AI341" t="e">
        <f t="shared" si="61"/>
        <v>#REF!</v>
      </c>
    </row>
    <row r="342" spans="4:35" x14ac:dyDescent="0.55000000000000004">
      <c r="D342" t="e">
        <f>IF(COUNTIF(#REF!,"&lt;&gt;NAN")=0, 0, IF(AND(OR(#REF!=#REF!,#REF!="NAN"), OR(#REF!=#REF!,#REF!="NAN"), OR(#REF!=#REF!,#REF!="NAN")),#REF!, 0))</f>
        <v>#REF!</v>
      </c>
      <c r="E342" t="e">
        <f>IF(#REF!="NAN","",IF(
   AND(OR(#REF!=#REF!,#REF!="NAN"),
     OR(#REF!=#REF!,#REF!="NAN"),
     OR(#REF!=#REF!,#REF!="NAN")),
   1,
   0))</f>
        <v>#REF!</v>
      </c>
      <c r="G342" t="e">
        <f>IF(OR(#REF!="UP",#REF!="DOWN"),1,0)</f>
        <v>#REF!</v>
      </c>
      <c r="H342" t="e">
        <f>IF(OR(#REF!="UP",#REF!="DOWN"),1,0)</f>
        <v>#REF!</v>
      </c>
      <c r="I342" t="e">
        <f>IF(OR(#REF!="UP",#REF!="DOWN"),1,0)</f>
        <v>#REF!</v>
      </c>
      <c r="M342" t="e">
        <f>IF(OR(#REF!="UP",#REF!="DOWN"),0,1)</f>
        <v>#REF!</v>
      </c>
      <c r="N342" t="e">
        <f>IF(OR(#REF!="UP",#REF!="DOWN"),VLOOKUP($C342,Configuración!$H$2:$K$11,3),1)</f>
        <v>#REF!</v>
      </c>
      <c r="O342" t="e">
        <f>IF(OR(#REF!="UP",#REF!="DOWN"),VLOOKUP($C342,Configuración!$H$2:$K$11,4),1)</f>
        <v>#REF!</v>
      </c>
      <c r="P342" t="e">
        <f t="shared" si="53"/>
        <v>#REF!</v>
      </c>
      <c r="Q342" t="e">
        <f t="shared" si="54"/>
        <v>#REF!</v>
      </c>
      <c r="R342" t="e">
        <f t="shared" si="52"/>
        <v>#REF!</v>
      </c>
      <c r="T342" t="e">
        <f>IF(R342&lt;&gt;0,Configuración!$E$2,0)</f>
        <v>#REF!</v>
      </c>
      <c r="U342" t="e">
        <f>IF(R342&lt;&gt;0,Configuración!$F$2,0)</f>
        <v>#REF!</v>
      </c>
      <c r="V342" t="e">
        <f>IF(R342&lt;&gt;0,Configuración!$G$2,0)</f>
        <v>#REF!</v>
      </c>
      <c r="W342" t="e">
        <f t="shared" si="55"/>
        <v>#REF!</v>
      </c>
      <c r="X342" t="e">
        <f t="shared" si="56"/>
        <v>#REF!</v>
      </c>
      <c r="Z342" t="e">
        <f t="shared" si="57"/>
        <v>#REF!</v>
      </c>
      <c r="AB342" t="e">
        <f t="shared" si="58"/>
        <v>#REF!</v>
      </c>
      <c r="AG342" t="e">
        <f t="shared" si="59"/>
        <v>#REF!</v>
      </c>
      <c r="AH342" s="5" t="e">
        <f t="shared" si="60"/>
        <v>#REF!</v>
      </c>
      <c r="AI342" t="e">
        <f t="shared" si="61"/>
        <v>#REF!</v>
      </c>
    </row>
    <row r="343" spans="4:35" x14ac:dyDescent="0.55000000000000004">
      <c r="D343" t="e">
        <f>IF(COUNTIF(#REF!,"&lt;&gt;NAN")=0, 0, IF(AND(OR(#REF!=#REF!,#REF!="NAN"), OR(#REF!=#REF!,#REF!="NAN"), OR(#REF!=#REF!,#REF!="NAN")),#REF!, 0))</f>
        <v>#REF!</v>
      </c>
      <c r="E343" t="e">
        <f>IF(#REF!="NAN","",IF(
   AND(OR(#REF!=#REF!,#REF!="NAN"),
     OR(#REF!=#REF!,#REF!="NAN"),
     OR(#REF!=#REF!,#REF!="NAN")),
   1,
   0))</f>
        <v>#REF!</v>
      </c>
      <c r="G343" t="e">
        <f>IF(OR(#REF!="UP",#REF!="DOWN"),1,0)</f>
        <v>#REF!</v>
      </c>
      <c r="H343" t="e">
        <f>IF(OR(#REF!="UP",#REF!="DOWN"),1,0)</f>
        <v>#REF!</v>
      </c>
      <c r="I343" t="e">
        <f>IF(OR(#REF!="UP",#REF!="DOWN"),1,0)</f>
        <v>#REF!</v>
      </c>
      <c r="M343" t="e">
        <f>IF(OR(#REF!="UP",#REF!="DOWN"),0,1)</f>
        <v>#REF!</v>
      </c>
      <c r="N343" t="e">
        <f>IF(OR(#REF!="UP",#REF!="DOWN"),VLOOKUP($C343,Configuración!$H$2:$K$11,3),1)</f>
        <v>#REF!</v>
      </c>
      <c r="O343" t="e">
        <f>IF(OR(#REF!="UP",#REF!="DOWN"),VLOOKUP($C343,Configuración!$H$2:$K$11,4),1)</f>
        <v>#REF!</v>
      </c>
      <c r="P343" t="e">
        <f t="shared" si="53"/>
        <v>#REF!</v>
      </c>
      <c r="Q343" t="e">
        <f t="shared" si="54"/>
        <v>#REF!</v>
      </c>
      <c r="R343" t="e">
        <f t="shared" si="52"/>
        <v>#REF!</v>
      </c>
      <c r="T343" t="e">
        <f>IF(R343&lt;&gt;0,Configuración!$E$2,0)</f>
        <v>#REF!</v>
      </c>
      <c r="U343" t="e">
        <f>IF(R343&lt;&gt;0,Configuración!$F$2,0)</f>
        <v>#REF!</v>
      </c>
      <c r="V343" t="e">
        <f>IF(R343&lt;&gt;0,Configuración!$G$2,0)</f>
        <v>#REF!</v>
      </c>
      <c r="W343" t="e">
        <f t="shared" si="55"/>
        <v>#REF!</v>
      </c>
      <c r="X343" t="e">
        <f t="shared" si="56"/>
        <v>#REF!</v>
      </c>
      <c r="Z343" t="e">
        <f t="shared" si="57"/>
        <v>#REF!</v>
      </c>
      <c r="AB343" t="e">
        <f t="shared" si="58"/>
        <v>#REF!</v>
      </c>
      <c r="AG343" t="e">
        <f t="shared" si="59"/>
        <v>#REF!</v>
      </c>
      <c r="AH343" s="5" t="e">
        <f t="shared" si="60"/>
        <v>#REF!</v>
      </c>
      <c r="AI343" t="e">
        <f t="shared" si="61"/>
        <v>#REF!</v>
      </c>
    </row>
    <row r="344" spans="4:35" x14ac:dyDescent="0.55000000000000004">
      <c r="D344" t="e">
        <f>IF(COUNTIF(#REF!,"&lt;&gt;NAN")=0, 0, IF(AND(OR(#REF!=#REF!,#REF!="NAN"), OR(#REF!=#REF!,#REF!="NAN"), OR(#REF!=#REF!,#REF!="NAN")),#REF!, 0))</f>
        <v>#REF!</v>
      </c>
      <c r="E344" t="e">
        <f>IF(#REF!="NAN","",IF(
   AND(OR(#REF!=#REF!,#REF!="NAN"),
     OR(#REF!=#REF!,#REF!="NAN"),
     OR(#REF!=#REF!,#REF!="NAN")),
   1,
   0))</f>
        <v>#REF!</v>
      </c>
      <c r="G344" t="e">
        <f>IF(OR(#REF!="UP",#REF!="DOWN"),1,0)</f>
        <v>#REF!</v>
      </c>
      <c r="H344" t="e">
        <f>IF(OR(#REF!="UP",#REF!="DOWN"),1,0)</f>
        <v>#REF!</v>
      </c>
      <c r="I344" t="e">
        <f>IF(OR(#REF!="UP",#REF!="DOWN"),1,0)</f>
        <v>#REF!</v>
      </c>
      <c r="M344" t="e">
        <f>IF(OR(#REF!="UP",#REF!="DOWN"),0,1)</f>
        <v>#REF!</v>
      </c>
      <c r="N344" t="e">
        <f>IF(OR(#REF!="UP",#REF!="DOWN"),VLOOKUP($C344,Configuración!$H$2:$K$11,3),1)</f>
        <v>#REF!</v>
      </c>
      <c r="O344" t="e">
        <f>IF(OR(#REF!="UP",#REF!="DOWN"),VLOOKUP($C344,Configuración!$H$2:$K$11,4),1)</f>
        <v>#REF!</v>
      </c>
      <c r="P344" t="e">
        <f t="shared" si="53"/>
        <v>#REF!</v>
      </c>
      <c r="Q344" t="e">
        <f t="shared" si="54"/>
        <v>#REF!</v>
      </c>
      <c r="R344" t="e">
        <f t="shared" si="52"/>
        <v>#REF!</v>
      </c>
      <c r="T344" t="e">
        <f>IF(R344&lt;&gt;0,Configuración!$E$2,0)</f>
        <v>#REF!</v>
      </c>
      <c r="U344" t="e">
        <f>IF(R344&lt;&gt;0,Configuración!$F$2,0)</f>
        <v>#REF!</v>
      </c>
      <c r="V344" t="e">
        <f>IF(R344&lt;&gt;0,Configuración!$G$2,0)</f>
        <v>#REF!</v>
      </c>
      <c r="W344" t="e">
        <f t="shared" si="55"/>
        <v>#REF!</v>
      </c>
      <c r="X344" t="e">
        <f t="shared" si="56"/>
        <v>#REF!</v>
      </c>
      <c r="Z344" t="e">
        <f t="shared" si="57"/>
        <v>#REF!</v>
      </c>
      <c r="AB344" t="e">
        <f t="shared" si="58"/>
        <v>#REF!</v>
      </c>
      <c r="AG344" t="e">
        <f t="shared" si="59"/>
        <v>#REF!</v>
      </c>
      <c r="AH344" s="5" t="e">
        <f t="shared" si="60"/>
        <v>#REF!</v>
      </c>
      <c r="AI344" t="e">
        <f t="shared" si="61"/>
        <v>#REF!</v>
      </c>
    </row>
    <row r="345" spans="4:35" x14ac:dyDescent="0.55000000000000004">
      <c r="D345" t="e">
        <f>IF(COUNTIF(#REF!,"&lt;&gt;NAN")=0, 0, IF(AND(OR(#REF!=#REF!,#REF!="NAN"), OR(#REF!=#REF!,#REF!="NAN"), OR(#REF!=#REF!,#REF!="NAN")),#REF!, 0))</f>
        <v>#REF!</v>
      </c>
      <c r="E345" t="e">
        <f>IF(#REF!="NAN","",IF(
   AND(OR(#REF!=#REF!,#REF!="NAN"),
     OR(#REF!=#REF!,#REF!="NAN"),
     OR(#REF!=#REF!,#REF!="NAN")),
   1,
   0))</f>
        <v>#REF!</v>
      </c>
      <c r="G345" t="e">
        <f>IF(OR(#REF!="UP",#REF!="DOWN"),1,0)</f>
        <v>#REF!</v>
      </c>
      <c r="H345" t="e">
        <f>IF(OR(#REF!="UP",#REF!="DOWN"),1,0)</f>
        <v>#REF!</v>
      </c>
      <c r="I345" t="e">
        <f>IF(OR(#REF!="UP",#REF!="DOWN"),1,0)</f>
        <v>#REF!</v>
      </c>
      <c r="M345" t="e">
        <f>IF(OR(#REF!="UP",#REF!="DOWN"),0,1)</f>
        <v>#REF!</v>
      </c>
      <c r="N345" t="e">
        <f>IF(OR(#REF!="UP",#REF!="DOWN"),VLOOKUP($C345,Configuración!$H$2:$K$11,3),1)</f>
        <v>#REF!</v>
      </c>
      <c r="O345" t="e">
        <f>IF(OR(#REF!="UP",#REF!="DOWN"),VLOOKUP($C345,Configuración!$H$2:$K$11,4),1)</f>
        <v>#REF!</v>
      </c>
      <c r="P345" t="e">
        <f t="shared" si="53"/>
        <v>#REF!</v>
      </c>
      <c r="Q345" t="e">
        <f t="shared" si="54"/>
        <v>#REF!</v>
      </c>
      <c r="R345" t="e">
        <f t="shared" si="52"/>
        <v>#REF!</v>
      </c>
      <c r="T345" t="e">
        <f>IF(R345&lt;&gt;0,Configuración!$E$2,0)</f>
        <v>#REF!</v>
      </c>
      <c r="U345" t="e">
        <f>IF(R345&lt;&gt;0,Configuración!$F$2,0)</f>
        <v>#REF!</v>
      </c>
      <c r="V345" t="e">
        <f>IF(R345&lt;&gt;0,Configuración!$G$2,0)</f>
        <v>#REF!</v>
      </c>
      <c r="W345" t="e">
        <f t="shared" si="55"/>
        <v>#REF!</v>
      </c>
      <c r="X345" t="e">
        <f t="shared" si="56"/>
        <v>#REF!</v>
      </c>
      <c r="Z345" t="e">
        <f t="shared" si="57"/>
        <v>#REF!</v>
      </c>
      <c r="AB345" t="e">
        <f t="shared" si="58"/>
        <v>#REF!</v>
      </c>
      <c r="AG345" t="e">
        <f t="shared" si="59"/>
        <v>#REF!</v>
      </c>
      <c r="AH345" s="5" t="e">
        <f t="shared" si="60"/>
        <v>#REF!</v>
      </c>
      <c r="AI345" t="e">
        <f t="shared" si="61"/>
        <v>#REF!</v>
      </c>
    </row>
    <row r="346" spans="4:35" x14ac:dyDescent="0.55000000000000004">
      <c r="D346" t="e">
        <f>IF(COUNTIF(#REF!,"&lt;&gt;NAN")=0, 0, IF(AND(OR(#REF!=#REF!,#REF!="NAN"), OR(#REF!=#REF!,#REF!="NAN"), OR(#REF!=#REF!,#REF!="NAN")),#REF!, 0))</f>
        <v>#REF!</v>
      </c>
      <c r="E346" t="e">
        <f>IF(#REF!="NAN","",IF(
   AND(OR(#REF!=#REF!,#REF!="NAN"),
     OR(#REF!=#REF!,#REF!="NAN"),
     OR(#REF!=#REF!,#REF!="NAN")),
   1,
   0))</f>
        <v>#REF!</v>
      </c>
      <c r="G346" t="e">
        <f>IF(OR(#REF!="UP",#REF!="DOWN"),1,0)</f>
        <v>#REF!</v>
      </c>
      <c r="H346" t="e">
        <f>IF(OR(#REF!="UP",#REF!="DOWN"),1,0)</f>
        <v>#REF!</v>
      </c>
      <c r="I346" t="e">
        <f>IF(OR(#REF!="UP",#REF!="DOWN"),1,0)</f>
        <v>#REF!</v>
      </c>
      <c r="M346" t="e">
        <f>IF(OR(#REF!="UP",#REF!="DOWN"),0,1)</f>
        <v>#REF!</v>
      </c>
      <c r="N346" t="e">
        <f>IF(OR(#REF!="UP",#REF!="DOWN"),VLOOKUP($C346,Configuración!$H$2:$K$11,3),1)</f>
        <v>#REF!</v>
      </c>
      <c r="O346" t="e">
        <f>IF(OR(#REF!="UP",#REF!="DOWN"),VLOOKUP($C346,Configuración!$H$2:$K$11,4),1)</f>
        <v>#REF!</v>
      </c>
      <c r="P346" t="e">
        <f t="shared" si="53"/>
        <v>#REF!</v>
      </c>
      <c r="Q346" t="e">
        <f t="shared" si="54"/>
        <v>#REF!</v>
      </c>
      <c r="R346" t="e">
        <f t="shared" si="52"/>
        <v>#REF!</v>
      </c>
      <c r="T346" t="e">
        <f>IF(R346&lt;&gt;0,Configuración!$E$2,0)</f>
        <v>#REF!</v>
      </c>
      <c r="U346" t="e">
        <f>IF(R346&lt;&gt;0,Configuración!$F$2,0)</f>
        <v>#REF!</v>
      </c>
      <c r="V346" t="e">
        <f>IF(R346&lt;&gt;0,Configuración!$G$2,0)</f>
        <v>#REF!</v>
      </c>
      <c r="W346" t="e">
        <f t="shared" si="55"/>
        <v>#REF!</v>
      </c>
      <c r="X346" t="e">
        <f t="shared" si="56"/>
        <v>#REF!</v>
      </c>
      <c r="Z346" t="e">
        <f t="shared" si="57"/>
        <v>#REF!</v>
      </c>
      <c r="AB346" t="e">
        <f t="shared" si="58"/>
        <v>#REF!</v>
      </c>
      <c r="AG346" t="e">
        <f t="shared" si="59"/>
        <v>#REF!</v>
      </c>
      <c r="AH346" s="5" t="e">
        <f t="shared" si="60"/>
        <v>#REF!</v>
      </c>
      <c r="AI346" t="e">
        <f t="shared" si="61"/>
        <v>#REF!</v>
      </c>
    </row>
    <row r="347" spans="4:35" x14ac:dyDescent="0.55000000000000004">
      <c r="D347" t="e">
        <f>IF(COUNTIF(#REF!,"&lt;&gt;NAN")=0, 0, IF(AND(OR(#REF!=#REF!,#REF!="NAN"), OR(#REF!=#REF!,#REF!="NAN"), OR(#REF!=#REF!,#REF!="NAN")),#REF!, 0))</f>
        <v>#REF!</v>
      </c>
      <c r="E347" t="e">
        <f>IF(#REF!="NAN","",IF(
   AND(OR(#REF!=#REF!,#REF!="NAN"),
     OR(#REF!=#REF!,#REF!="NAN"),
     OR(#REF!=#REF!,#REF!="NAN")),
   1,
   0))</f>
        <v>#REF!</v>
      </c>
      <c r="G347" t="e">
        <f>IF(OR(#REF!="UP",#REF!="DOWN"),1,0)</f>
        <v>#REF!</v>
      </c>
      <c r="H347" t="e">
        <f>IF(OR(#REF!="UP",#REF!="DOWN"),1,0)</f>
        <v>#REF!</v>
      </c>
      <c r="I347" t="e">
        <f>IF(OR(#REF!="UP",#REF!="DOWN"),1,0)</f>
        <v>#REF!</v>
      </c>
      <c r="M347" t="e">
        <f>IF(OR(#REF!="UP",#REF!="DOWN"),0,1)</f>
        <v>#REF!</v>
      </c>
      <c r="N347" t="e">
        <f>IF(OR(#REF!="UP",#REF!="DOWN"),VLOOKUP($C347,Configuración!$H$2:$K$11,3),1)</f>
        <v>#REF!</v>
      </c>
      <c r="O347" t="e">
        <f>IF(OR(#REF!="UP",#REF!="DOWN"),VLOOKUP($C347,Configuración!$H$2:$K$11,4),1)</f>
        <v>#REF!</v>
      </c>
      <c r="P347" t="e">
        <f t="shared" si="53"/>
        <v>#REF!</v>
      </c>
      <c r="Q347" t="e">
        <f t="shared" si="54"/>
        <v>#REF!</v>
      </c>
      <c r="R347" t="e">
        <f t="shared" si="52"/>
        <v>#REF!</v>
      </c>
      <c r="T347" t="e">
        <f>IF(R347&lt;&gt;0,Configuración!$E$2,0)</f>
        <v>#REF!</v>
      </c>
      <c r="U347" t="e">
        <f>IF(R347&lt;&gt;0,Configuración!$F$2,0)</f>
        <v>#REF!</v>
      </c>
      <c r="V347" t="e">
        <f>IF(R347&lt;&gt;0,Configuración!$G$2,0)</f>
        <v>#REF!</v>
      </c>
      <c r="W347" t="e">
        <f t="shared" si="55"/>
        <v>#REF!</v>
      </c>
      <c r="X347" t="e">
        <f t="shared" si="56"/>
        <v>#REF!</v>
      </c>
      <c r="Z347" t="e">
        <f t="shared" si="57"/>
        <v>#REF!</v>
      </c>
      <c r="AB347" t="e">
        <f t="shared" si="58"/>
        <v>#REF!</v>
      </c>
      <c r="AG347" t="e">
        <f t="shared" si="59"/>
        <v>#REF!</v>
      </c>
      <c r="AH347" s="5" t="e">
        <f t="shared" si="60"/>
        <v>#REF!</v>
      </c>
      <c r="AI347" t="e">
        <f t="shared" si="61"/>
        <v>#REF!</v>
      </c>
    </row>
    <row r="348" spans="4:35" x14ac:dyDescent="0.55000000000000004">
      <c r="D348" t="e">
        <f>IF(COUNTIF(#REF!,"&lt;&gt;NAN")=0, 0, IF(AND(OR(#REF!=#REF!,#REF!="NAN"), OR(#REF!=#REF!,#REF!="NAN"), OR(#REF!=#REF!,#REF!="NAN")),#REF!, 0))</f>
        <v>#REF!</v>
      </c>
      <c r="E348" t="e">
        <f>IF(#REF!="NAN","",IF(
   AND(OR(#REF!=#REF!,#REF!="NAN"),
     OR(#REF!=#REF!,#REF!="NAN"),
     OR(#REF!=#REF!,#REF!="NAN")),
   1,
   0))</f>
        <v>#REF!</v>
      </c>
      <c r="G348" t="e">
        <f>IF(OR(#REF!="UP",#REF!="DOWN"),1,0)</f>
        <v>#REF!</v>
      </c>
      <c r="H348" t="e">
        <f>IF(OR(#REF!="UP",#REF!="DOWN"),1,0)</f>
        <v>#REF!</v>
      </c>
      <c r="I348" t="e">
        <f>IF(OR(#REF!="UP",#REF!="DOWN"),1,0)</f>
        <v>#REF!</v>
      </c>
      <c r="M348" t="e">
        <f>IF(OR(#REF!="UP",#REF!="DOWN"),0,1)</f>
        <v>#REF!</v>
      </c>
      <c r="N348" t="e">
        <f>IF(OR(#REF!="UP",#REF!="DOWN"),VLOOKUP($C348,Configuración!$H$2:$K$11,3),1)</f>
        <v>#REF!</v>
      </c>
      <c r="O348" t="e">
        <f>IF(OR(#REF!="UP",#REF!="DOWN"),VLOOKUP($C348,Configuración!$H$2:$K$11,4),1)</f>
        <v>#REF!</v>
      </c>
      <c r="P348" t="e">
        <f t="shared" si="53"/>
        <v>#REF!</v>
      </c>
      <c r="Q348" t="e">
        <f t="shared" si="54"/>
        <v>#REF!</v>
      </c>
      <c r="R348" t="e">
        <f t="shared" si="52"/>
        <v>#REF!</v>
      </c>
      <c r="T348" t="e">
        <f>IF(R348&lt;&gt;0,Configuración!$E$2,0)</f>
        <v>#REF!</v>
      </c>
      <c r="U348" t="e">
        <f>IF(R348&lt;&gt;0,Configuración!$F$2,0)</f>
        <v>#REF!</v>
      </c>
      <c r="V348" t="e">
        <f>IF(R348&lt;&gt;0,Configuración!$G$2,0)</f>
        <v>#REF!</v>
      </c>
      <c r="W348" t="e">
        <f t="shared" si="55"/>
        <v>#REF!</v>
      </c>
      <c r="X348" t="e">
        <f t="shared" si="56"/>
        <v>#REF!</v>
      </c>
      <c r="Z348" t="e">
        <f t="shared" si="57"/>
        <v>#REF!</v>
      </c>
      <c r="AB348" t="e">
        <f t="shared" si="58"/>
        <v>#REF!</v>
      </c>
      <c r="AG348" t="e">
        <f t="shared" si="59"/>
        <v>#REF!</v>
      </c>
      <c r="AH348" s="5" t="e">
        <f t="shared" si="60"/>
        <v>#REF!</v>
      </c>
      <c r="AI348" t="e">
        <f t="shared" si="61"/>
        <v>#REF!</v>
      </c>
    </row>
    <row r="349" spans="4:35" x14ac:dyDescent="0.55000000000000004">
      <c r="D349" t="e">
        <f>IF(COUNTIF(#REF!,"&lt;&gt;NAN")=0, 0, IF(AND(OR(#REF!=#REF!,#REF!="NAN"), OR(#REF!=#REF!,#REF!="NAN"), OR(#REF!=#REF!,#REF!="NAN")),#REF!, 0))</f>
        <v>#REF!</v>
      </c>
      <c r="E349" t="e">
        <f>IF(#REF!="NAN","",IF(
   AND(OR(#REF!=#REF!,#REF!="NAN"),
     OR(#REF!=#REF!,#REF!="NAN"),
     OR(#REF!=#REF!,#REF!="NAN")),
   1,
   0))</f>
        <v>#REF!</v>
      </c>
      <c r="G349" t="e">
        <f>IF(OR(#REF!="UP",#REF!="DOWN"),1,0)</f>
        <v>#REF!</v>
      </c>
      <c r="H349" t="e">
        <f>IF(OR(#REF!="UP",#REF!="DOWN"),1,0)</f>
        <v>#REF!</v>
      </c>
      <c r="I349" t="e">
        <f>IF(OR(#REF!="UP",#REF!="DOWN"),1,0)</f>
        <v>#REF!</v>
      </c>
      <c r="M349" t="e">
        <f>IF(OR(#REF!="UP",#REF!="DOWN"),0,1)</f>
        <v>#REF!</v>
      </c>
      <c r="N349" t="e">
        <f>IF(OR(#REF!="UP",#REF!="DOWN"),VLOOKUP($C349,Configuración!$H$2:$K$11,3),1)</f>
        <v>#REF!</v>
      </c>
      <c r="O349" t="e">
        <f>IF(OR(#REF!="UP",#REF!="DOWN"),VLOOKUP($C349,Configuración!$H$2:$K$11,4),1)</f>
        <v>#REF!</v>
      </c>
      <c r="P349" t="e">
        <f t="shared" si="53"/>
        <v>#REF!</v>
      </c>
      <c r="Q349" t="e">
        <f t="shared" si="54"/>
        <v>#REF!</v>
      </c>
      <c r="R349" t="e">
        <f t="shared" si="52"/>
        <v>#REF!</v>
      </c>
      <c r="T349" t="e">
        <f>IF(R349&lt;&gt;0,Configuración!$E$2,0)</f>
        <v>#REF!</v>
      </c>
      <c r="U349" t="e">
        <f>IF(R349&lt;&gt;0,Configuración!$F$2,0)</f>
        <v>#REF!</v>
      </c>
      <c r="V349" t="e">
        <f>IF(R349&lt;&gt;0,Configuración!$G$2,0)</f>
        <v>#REF!</v>
      </c>
      <c r="W349" t="e">
        <f t="shared" si="55"/>
        <v>#REF!</v>
      </c>
      <c r="X349" t="e">
        <f t="shared" si="56"/>
        <v>#REF!</v>
      </c>
      <c r="Z349" t="e">
        <f t="shared" si="57"/>
        <v>#REF!</v>
      </c>
      <c r="AB349" t="e">
        <f t="shared" si="58"/>
        <v>#REF!</v>
      </c>
      <c r="AG349" t="e">
        <f t="shared" si="59"/>
        <v>#REF!</v>
      </c>
      <c r="AH349" s="5" t="e">
        <f t="shared" si="60"/>
        <v>#REF!</v>
      </c>
      <c r="AI349" t="e">
        <f t="shared" si="61"/>
        <v>#REF!</v>
      </c>
    </row>
    <row r="350" spans="4:35" x14ac:dyDescent="0.55000000000000004">
      <c r="D350" t="e">
        <f>IF(COUNTIF(#REF!,"&lt;&gt;NAN")=0, 0, IF(AND(OR(#REF!=#REF!,#REF!="NAN"), OR(#REF!=#REF!,#REF!="NAN"), OR(#REF!=#REF!,#REF!="NAN")),#REF!, 0))</f>
        <v>#REF!</v>
      </c>
      <c r="E350" t="e">
        <f>IF(#REF!="NAN","",IF(
   AND(OR(#REF!=#REF!,#REF!="NAN"),
     OR(#REF!=#REF!,#REF!="NAN"),
     OR(#REF!=#REF!,#REF!="NAN")),
   1,
   0))</f>
        <v>#REF!</v>
      </c>
      <c r="G350" t="e">
        <f>IF(OR(#REF!="UP",#REF!="DOWN"),1,0)</f>
        <v>#REF!</v>
      </c>
      <c r="H350" t="e">
        <f>IF(OR(#REF!="UP",#REF!="DOWN"),1,0)</f>
        <v>#REF!</v>
      </c>
      <c r="I350" t="e">
        <f>IF(OR(#REF!="UP",#REF!="DOWN"),1,0)</f>
        <v>#REF!</v>
      </c>
      <c r="M350" t="e">
        <f>IF(OR(#REF!="UP",#REF!="DOWN"),0,1)</f>
        <v>#REF!</v>
      </c>
      <c r="N350" t="e">
        <f>IF(OR(#REF!="UP",#REF!="DOWN"),VLOOKUP($C350,Configuración!$H$2:$K$11,3),1)</f>
        <v>#REF!</v>
      </c>
      <c r="O350" t="e">
        <f>IF(OR(#REF!="UP",#REF!="DOWN"),VLOOKUP($C350,Configuración!$H$2:$K$11,4),1)</f>
        <v>#REF!</v>
      </c>
      <c r="P350" t="e">
        <f t="shared" si="53"/>
        <v>#REF!</v>
      </c>
      <c r="Q350" t="e">
        <f t="shared" si="54"/>
        <v>#REF!</v>
      </c>
      <c r="R350" t="e">
        <f t="shared" si="52"/>
        <v>#REF!</v>
      </c>
      <c r="T350" t="e">
        <f>IF(R350&lt;&gt;0,Configuración!$E$2,0)</f>
        <v>#REF!</v>
      </c>
      <c r="U350" t="e">
        <f>IF(R350&lt;&gt;0,Configuración!$F$2,0)</f>
        <v>#REF!</v>
      </c>
      <c r="V350" t="e">
        <f>IF(R350&lt;&gt;0,Configuración!$G$2,0)</f>
        <v>#REF!</v>
      </c>
      <c r="W350" t="e">
        <f t="shared" si="55"/>
        <v>#REF!</v>
      </c>
      <c r="X350" t="e">
        <f t="shared" si="56"/>
        <v>#REF!</v>
      </c>
      <c r="Z350" t="e">
        <f t="shared" si="57"/>
        <v>#REF!</v>
      </c>
      <c r="AB350" t="e">
        <f t="shared" si="58"/>
        <v>#REF!</v>
      </c>
      <c r="AG350" t="e">
        <f t="shared" si="59"/>
        <v>#REF!</v>
      </c>
      <c r="AH350" s="5" t="e">
        <f t="shared" si="60"/>
        <v>#REF!</v>
      </c>
      <c r="AI350" t="e">
        <f t="shared" si="61"/>
        <v>#REF!</v>
      </c>
    </row>
    <row r="351" spans="4:35" x14ac:dyDescent="0.55000000000000004">
      <c r="D351" t="e">
        <f>IF(COUNTIF(#REF!,"&lt;&gt;NAN")=0, 0, IF(AND(OR(#REF!=#REF!,#REF!="NAN"), OR(#REF!=#REF!,#REF!="NAN"), OR(#REF!=#REF!,#REF!="NAN")),#REF!, 0))</f>
        <v>#REF!</v>
      </c>
      <c r="E351" t="e">
        <f>IF(#REF!="NAN","",IF(
   AND(OR(#REF!=#REF!,#REF!="NAN"),
     OR(#REF!=#REF!,#REF!="NAN"),
     OR(#REF!=#REF!,#REF!="NAN")),
   1,
   0))</f>
        <v>#REF!</v>
      </c>
      <c r="G351" t="e">
        <f>IF(OR(#REF!="UP",#REF!="DOWN"),1,0)</f>
        <v>#REF!</v>
      </c>
      <c r="H351" t="e">
        <f>IF(OR(#REF!="UP",#REF!="DOWN"),1,0)</f>
        <v>#REF!</v>
      </c>
      <c r="I351" t="e">
        <f>IF(OR(#REF!="UP",#REF!="DOWN"),1,0)</f>
        <v>#REF!</v>
      </c>
      <c r="M351" t="e">
        <f>IF(OR(#REF!="UP",#REF!="DOWN"),0,1)</f>
        <v>#REF!</v>
      </c>
      <c r="N351" t="e">
        <f>IF(OR(#REF!="UP",#REF!="DOWN"),VLOOKUP($C351,Configuración!$H$2:$K$11,3),1)</f>
        <v>#REF!</v>
      </c>
      <c r="O351" t="e">
        <f>IF(OR(#REF!="UP",#REF!="DOWN"),VLOOKUP($C351,Configuración!$H$2:$K$11,4),1)</f>
        <v>#REF!</v>
      </c>
      <c r="P351" t="e">
        <f t="shared" si="53"/>
        <v>#REF!</v>
      </c>
      <c r="Q351" t="e">
        <f t="shared" si="54"/>
        <v>#REF!</v>
      </c>
      <c r="R351" t="e">
        <f t="shared" si="52"/>
        <v>#REF!</v>
      </c>
      <c r="T351" t="e">
        <f>IF(R351&lt;&gt;0,Configuración!$E$2,0)</f>
        <v>#REF!</v>
      </c>
      <c r="U351" t="e">
        <f>IF(R351&lt;&gt;0,Configuración!$F$2,0)</f>
        <v>#REF!</v>
      </c>
      <c r="V351" t="e">
        <f>IF(R351&lt;&gt;0,Configuración!$G$2,0)</f>
        <v>#REF!</v>
      </c>
      <c r="W351" t="e">
        <f t="shared" si="55"/>
        <v>#REF!</v>
      </c>
      <c r="X351" t="e">
        <f t="shared" si="56"/>
        <v>#REF!</v>
      </c>
      <c r="Z351" t="e">
        <f t="shared" si="57"/>
        <v>#REF!</v>
      </c>
      <c r="AB351" t="e">
        <f t="shared" si="58"/>
        <v>#REF!</v>
      </c>
      <c r="AG351" t="e">
        <f t="shared" si="59"/>
        <v>#REF!</v>
      </c>
      <c r="AH351" s="5" t="e">
        <f t="shared" si="60"/>
        <v>#REF!</v>
      </c>
      <c r="AI351" t="e">
        <f t="shared" si="61"/>
        <v>#REF!</v>
      </c>
    </row>
    <row r="352" spans="4:35" x14ac:dyDescent="0.55000000000000004">
      <c r="D352" t="e">
        <f>IF(COUNTIF(#REF!,"&lt;&gt;NAN")=0, 0, IF(AND(OR(#REF!=#REF!,#REF!="NAN"), OR(#REF!=#REF!,#REF!="NAN"), OR(#REF!=#REF!,#REF!="NAN")),#REF!, 0))</f>
        <v>#REF!</v>
      </c>
      <c r="E352" t="e">
        <f>IF(#REF!="NAN","",IF(
   AND(OR(#REF!=#REF!,#REF!="NAN"),
     OR(#REF!=#REF!,#REF!="NAN"),
     OR(#REF!=#REF!,#REF!="NAN")),
   1,
   0))</f>
        <v>#REF!</v>
      </c>
      <c r="G352" t="e">
        <f>IF(OR(#REF!="UP",#REF!="DOWN"),1,0)</f>
        <v>#REF!</v>
      </c>
      <c r="H352" t="e">
        <f>IF(OR(#REF!="UP",#REF!="DOWN"),1,0)</f>
        <v>#REF!</v>
      </c>
      <c r="I352" t="e">
        <f>IF(OR(#REF!="UP",#REF!="DOWN"),1,0)</f>
        <v>#REF!</v>
      </c>
      <c r="M352" t="e">
        <f>IF(OR(#REF!="UP",#REF!="DOWN"),0,1)</f>
        <v>#REF!</v>
      </c>
      <c r="N352" t="e">
        <f>IF(OR(#REF!="UP",#REF!="DOWN"),VLOOKUP($C352,Configuración!$H$2:$K$11,3),1)</f>
        <v>#REF!</v>
      </c>
      <c r="O352" t="e">
        <f>IF(OR(#REF!="UP",#REF!="DOWN"),VLOOKUP($C352,Configuración!$H$2:$K$11,4),1)</f>
        <v>#REF!</v>
      </c>
      <c r="P352" t="e">
        <f t="shared" si="53"/>
        <v>#REF!</v>
      </c>
      <c r="Q352" t="e">
        <f t="shared" si="54"/>
        <v>#REF!</v>
      </c>
      <c r="R352" t="e">
        <f t="shared" si="52"/>
        <v>#REF!</v>
      </c>
      <c r="T352" t="e">
        <f>IF(R352&lt;&gt;0,Configuración!$E$2,0)</f>
        <v>#REF!</v>
      </c>
      <c r="U352" t="e">
        <f>IF(R352&lt;&gt;0,Configuración!$F$2,0)</f>
        <v>#REF!</v>
      </c>
      <c r="V352" t="e">
        <f>IF(R352&lt;&gt;0,Configuración!$G$2,0)</f>
        <v>#REF!</v>
      </c>
      <c r="W352" t="e">
        <f t="shared" si="55"/>
        <v>#REF!</v>
      </c>
      <c r="X352" t="e">
        <f t="shared" si="56"/>
        <v>#REF!</v>
      </c>
      <c r="Z352" t="e">
        <f t="shared" si="57"/>
        <v>#REF!</v>
      </c>
      <c r="AB352" t="e">
        <f t="shared" si="58"/>
        <v>#REF!</v>
      </c>
      <c r="AG352" t="e">
        <f t="shared" si="59"/>
        <v>#REF!</v>
      </c>
      <c r="AH352" s="5" t="e">
        <f t="shared" si="60"/>
        <v>#REF!</v>
      </c>
      <c r="AI352" t="e">
        <f t="shared" si="61"/>
        <v>#REF!</v>
      </c>
    </row>
    <row r="353" spans="4:35" x14ac:dyDescent="0.55000000000000004">
      <c r="D353" t="e">
        <f>IF(COUNTIF(#REF!,"&lt;&gt;NAN")=0, 0, IF(AND(OR(#REF!=#REF!,#REF!="NAN"), OR(#REF!=#REF!,#REF!="NAN"), OR(#REF!=#REF!,#REF!="NAN")),#REF!, 0))</f>
        <v>#REF!</v>
      </c>
      <c r="E353" t="e">
        <f>IF(#REF!="NAN","",IF(
   AND(OR(#REF!=#REF!,#REF!="NAN"),
     OR(#REF!=#REF!,#REF!="NAN"),
     OR(#REF!=#REF!,#REF!="NAN")),
   1,
   0))</f>
        <v>#REF!</v>
      </c>
      <c r="G353" t="e">
        <f>IF(OR(#REF!="UP",#REF!="DOWN"),1,0)</f>
        <v>#REF!</v>
      </c>
      <c r="H353" t="e">
        <f>IF(OR(#REF!="UP",#REF!="DOWN"),1,0)</f>
        <v>#REF!</v>
      </c>
      <c r="I353" t="e">
        <f>IF(OR(#REF!="UP",#REF!="DOWN"),1,0)</f>
        <v>#REF!</v>
      </c>
      <c r="M353" t="e">
        <f>IF(OR(#REF!="UP",#REF!="DOWN"),0,1)</f>
        <v>#REF!</v>
      </c>
      <c r="N353" t="e">
        <f>IF(OR(#REF!="UP",#REF!="DOWN"),VLOOKUP($C353,Configuración!$H$2:$K$11,3),1)</f>
        <v>#REF!</v>
      </c>
      <c r="O353" t="e">
        <f>IF(OR(#REF!="UP",#REF!="DOWN"),VLOOKUP($C353,Configuración!$H$2:$K$11,4),1)</f>
        <v>#REF!</v>
      </c>
      <c r="P353" t="e">
        <f t="shared" si="53"/>
        <v>#REF!</v>
      </c>
      <c r="Q353" t="e">
        <f t="shared" si="54"/>
        <v>#REF!</v>
      </c>
      <c r="R353" t="e">
        <f t="shared" si="52"/>
        <v>#REF!</v>
      </c>
      <c r="T353" t="e">
        <f>IF(R353&lt;&gt;0,Configuración!$E$2,0)</f>
        <v>#REF!</v>
      </c>
      <c r="U353" t="e">
        <f>IF(R353&lt;&gt;0,Configuración!$F$2,0)</f>
        <v>#REF!</v>
      </c>
      <c r="V353" t="e">
        <f>IF(R353&lt;&gt;0,Configuración!$G$2,0)</f>
        <v>#REF!</v>
      </c>
      <c r="W353" t="e">
        <f t="shared" si="55"/>
        <v>#REF!</v>
      </c>
      <c r="X353" t="e">
        <f t="shared" si="56"/>
        <v>#REF!</v>
      </c>
      <c r="Z353" t="e">
        <f t="shared" si="57"/>
        <v>#REF!</v>
      </c>
      <c r="AB353" t="e">
        <f t="shared" si="58"/>
        <v>#REF!</v>
      </c>
      <c r="AG353" t="e">
        <f t="shared" si="59"/>
        <v>#REF!</v>
      </c>
      <c r="AH353" s="5" t="e">
        <f t="shared" si="60"/>
        <v>#REF!</v>
      </c>
      <c r="AI353" t="e">
        <f t="shared" si="61"/>
        <v>#REF!</v>
      </c>
    </row>
    <row r="354" spans="4:35" x14ac:dyDescent="0.55000000000000004">
      <c r="D354" t="e">
        <f>IF(COUNTIF(#REF!,"&lt;&gt;NAN")=0, 0, IF(AND(OR(#REF!=#REF!,#REF!="NAN"), OR(#REF!=#REF!,#REF!="NAN"), OR(#REF!=#REF!,#REF!="NAN")),#REF!, 0))</f>
        <v>#REF!</v>
      </c>
      <c r="E354" t="e">
        <f>IF(#REF!="NAN","",IF(
   AND(OR(#REF!=#REF!,#REF!="NAN"),
     OR(#REF!=#REF!,#REF!="NAN"),
     OR(#REF!=#REF!,#REF!="NAN")),
   1,
   0))</f>
        <v>#REF!</v>
      </c>
      <c r="G354" t="e">
        <f>IF(OR(#REF!="UP",#REF!="DOWN"),1,0)</f>
        <v>#REF!</v>
      </c>
      <c r="H354" t="e">
        <f>IF(OR(#REF!="UP",#REF!="DOWN"),1,0)</f>
        <v>#REF!</v>
      </c>
      <c r="I354" t="e">
        <f>IF(OR(#REF!="UP",#REF!="DOWN"),1,0)</f>
        <v>#REF!</v>
      </c>
      <c r="M354" t="e">
        <f>IF(OR(#REF!="UP",#REF!="DOWN"),0,1)</f>
        <v>#REF!</v>
      </c>
      <c r="N354" t="e">
        <f>IF(OR(#REF!="UP",#REF!="DOWN"),VLOOKUP($C354,Configuración!$H$2:$K$11,3),1)</f>
        <v>#REF!</v>
      </c>
      <c r="O354" t="e">
        <f>IF(OR(#REF!="UP",#REF!="DOWN"),VLOOKUP($C354,Configuración!$H$2:$K$11,4),1)</f>
        <v>#REF!</v>
      </c>
      <c r="P354" t="e">
        <f t="shared" si="53"/>
        <v>#REF!</v>
      </c>
      <c r="Q354" t="e">
        <f t="shared" si="54"/>
        <v>#REF!</v>
      </c>
      <c r="R354" t="e">
        <f t="shared" si="52"/>
        <v>#REF!</v>
      </c>
      <c r="T354" t="e">
        <f>IF(R354&lt;&gt;0,Configuración!$E$2,0)</f>
        <v>#REF!</v>
      </c>
      <c r="U354" t="e">
        <f>IF(R354&lt;&gt;0,Configuración!$F$2,0)</f>
        <v>#REF!</v>
      </c>
      <c r="V354" t="e">
        <f>IF(R354&lt;&gt;0,Configuración!$G$2,0)</f>
        <v>#REF!</v>
      </c>
      <c r="W354" t="e">
        <f t="shared" si="55"/>
        <v>#REF!</v>
      </c>
      <c r="X354" t="e">
        <f t="shared" si="56"/>
        <v>#REF!</v>
      </c>
      <c r="Z354" t="e">
        <f t="shared" si="57"/>
        <v>#REF!</v>
      </c>
      <c r="AB354" t="e">
        <f t="shared" si="58"/>
        <v>#REF!</v>
      </c>
      <c r="AG354" t="e">
        <f t="shared" si="59"/>
        <v>#REF!</v>
      </c>
      <c r="AH354" s="5" t="e">
        <f t="shared" si="60"/>
        <v>#REF!</v>
      </c>
      <c r="AI354" t="e">
        <f t="shared" si="61"/>
        <v>#REF!</v>
      </c>
    </row>
    <row r="355" spans="4:35" x14ac:dyDescent="0.55000000000000004">
      <c r="D355" t="e">
        <f>IF(COUNTIF(#REF!,"&lt;&gt;NAN")=0, 0, IF(AND(OR(#REF!=#REF!,#REF!="NAN"), OR(#REF!=#REF!,#REF!="NAN"), OR(#REF!=#REF!,#REF!="NAN")),#REF!, 0))</f>
        <v>#REF!</v>
      </c>
      <c r="E355" t="e">
        <f>IF(#REF!="NAN","",IF(
   AND(OR(#REF!=#REF!,#REF!="NAN"),
     OR(#REF!=#REF!,#REF!="NAN"),
     OR(#REF!=#REF!,#REF!="NAN")),
   1,
   0))</f>
        <v>#REF!</v>
      </c>
      <c r="G355" t="e">
        <f>IF(OR(#REF!="UP",#REF!="DOWN"),1,0)</f>
        <v>#REF!</v>
      </c>
      <c r="H355" t="e">
        <f>IF(OR(#REF!="UP",#REF!="DOWN"),1,0)</f>
        <v>#REF!</v>
      </c>
      <c r="I355" t="e">
        <f>IF(OR(#REF!="UP",#REF!="DOWN"),1,0)</f>
        <v>#REF!</v>
      </c>
      <c r="M355" t="e">
        <f>IF(OR(#REF!="UP",#REF!="DOWN"),0,1)</f>
        <v>#REF!</v>
      </c>
      <c r="N355" t="e">
        <f>IF(OR(#REF!="UP",#REF!="DOWN"),VLOOKUP($C355,Configuración!$H$2:$K$11,3),1)</f>
        <v>#REF!</v>
      </c>
      <c r="O355" t="e">
        <f>IF(OR(#REF!="UP",#REF!="DOWN"),VLOOKUP($C355,Configuración!$H$2:$K$11,4),1)</f>
        <v>#REF!</v>
      </c>
      <c r="P355" t="e">
        <f t="shared" si="53"/>
        <v>#REF!</v>
      </c>
      <c r="Q355" t="e">
        <f t="shared" si="54"/>
        <v>#REF!</v>
      </c>
      <c r="R355" t="e">
        <f t="shared" si="52"/>
        <v>#REF!</v>
      </c>
      <c r="T355" t="e">
        <f>IF(R355&lt;&gt;0,Configuración!$E$2,0)</f>
        <v>#REF!</v>
      </c>
      <c r="U355" t="e">
        <f>IF(R355&lt;&gt;0,Configuración!$F$2,0)</f>
        <v>#REF!</v>
      </c>
      <c r="V355" t="e">
        <f>IF(R355&lt;&gt;0,Configuración!$G$2,0)</f>
        <v>#REF!</v>
      </c>
      <c r="W355" t="e">
        <f t="shared" si="55"/>
        <v>#REF!</v>
      </c>
      <c r="X355" t="e">
        <f t="shared" si="56"/>
        <v>#REF!</v>
      </c>
      <c r="Z355" t="e">
        <f t="shared" si="57"/>
        <v>#REF!</v>
      </c>
      <c r="AB355" t="e">
        <f t="shared" si="58"/>
        <v>#REF!</v>
      </c>
      <c r="AG355" t="e">
        <f t="shared" si="59"/>
        <v>#REF!</v>
      </c>
      <c r="AH355" s="5" t="e">
        <f t="shared" si="60"/>
        <v>#REF!</v>
      </c>
      <c r="AI355" t="e">
        <f t="shared" si="61"/>
        <v>#REF!</v>
      </c>
    </row>
    <row r="356" spans="4:35" x14ac:dyDescent="0.55000000000000004">
      <c r="D356" t="e">
        <f>IF(COUNTIF(#REF!,"&lt;&gt;NAN")=0, 0, IF(AND(OR(#REF!=#REF!,#REF!="NAN"), OR(#REF!=#REF!,#REF!="NAN"), OR(#REF!=#REF!,#REF!="NAN")),#REF!, 0))</f>
        <v>#REF!</v>
      </c>
      <c r="E356" t="e">
        <f>IF(#REF!="NAN","",IF(
   AND(OR(#REF!=#REF!,#REF!="NAN"),
     OR(#REF!=#REF!,#REF!="NAN"),
     OR(#REF!=#REF!,#REF!="NAN")),
   1,
   0))</f>
        <v>#REF!</v>
      </c>
      <c r="G356" t="e">
        <f>IF(OR(#REF!="UP",#REF!="DOWN"),1,0)</f>
        <v>#REF!</v>
      </c>
      <c r="H356" t="e">
        <f>IF(OR(#REF!="UP",#REF!="DOWN"),1,0)</f>
        <v>#REF!</v>
      </c>
      <c r="I356" t="e">
        <f>IF(OR(#REF!="UP",#REF!="DOWN"),1,0)</f>
        <v>#REF!</v>
      </c>
      <c r="M356" t="e">
        <f>IF(OR(#REF!="UP",#REF!="DOWN"),0,1)</f>
        <v>#REF!</v>
      </c>
      <c r="N356" t="e">
        <f>IF(OR(#REF!="UP",#REF!="DOWN"),VLOOKUP($C356,Configuración!$H$2:$K$11,3),1)</f>
        <v>#REF!</v>
      </c>
      <c r="O356" t="e">
        <f>IF(OR(#REF!="UP",#REF!="DOWN"),VLOOKUP($C356,Configuración!$H$2:$K$11,4),1)</f>
        <v>#REF!</v>
      </c>
      <c r="P356" t="e">
        <f t="shared" si="53"/>
        <v>#REF!</v>
      </c>
      <c r="Q356" t="e">
        <f t="shared" si="54"/>
        <v>#REF!</v>
      </c>
      <c r="R356" t="e">
        <f t="shared" si="52"/>
        <v>#REF!</v>
      </c>
      <c r="T356" t="e">
        <f>IF(R356&lt;&gt;0,Configuración!$E$2,0)</f>
        <v>#REF!</v>
      </c>
      <c r="U356" t="e">
        <f>IF(R356&lt;&gt;0,Configuración!$F$2,0)</f>
        <v>#REF!</v>
      </c>
      <c r="V356" t="e">
        <f>IF(R356&lt;&gt;0,Configuración!$G$2,0)</f>
        <v>#REF!</v>
      </c>
      <c r="W356" t="e">
        <f t="shared" si="55"/>
        <v>#REF!</v>
      </c>
      <c r="X356" t="e">
        <f t="shared" si="56"/>
        <v>#REF!</v>
      </c>
      <c r="Z356" t="e">
        <f t="shared" si="57"/>
        <v>#REF!</v>
      </c>
      <c r="AB356" t="e">
        <f t="shared" si="58"/>
        <v>#REF!</v>
      </c>
      <c r="AG356" t="e">
        <f t="shared" si="59"/>
        <v>#REF!</v>
      </c>
      <c r="AH356" s="5" t="e">
        <f t="shared" si="60"/>
        <v>#REF!</v>
      </c>
      <c r="AI356" t="e">
        <f t="shared" si="61"/>
        <v>#REF!</v>
      </c>
    </row>
    <row r="357" spans="4:35" x14ac:dyDescent="0.55000000000000004">
      <c r="D357" t="e">
        <f>IF(COUNTIF(#REF!,"&lt;&gt;NAN")=0, 0, IF(AND(OR(#REF!=#REF!,#REF!="NAN"), OR(#REF!=#REF!,#REF!="NAN"), OR(#REF!=#REF!,#REF!="NAN")),#REF!, 0))</f>
        <v>#REF!</v>
      </c>
      <c r="E357" t="e">
        <f>IF(#REF!="NAN","",IF(
   AND(OR(#REF!=#REF!,#REF!="NAN"),
     OR(#REF!=#REF!,#REF!="NAN"),
     OR(#REF!=#REF!,#REF!="NAN")),
   1,
   0))</f>
        <v>#REF!</v>
      </c>
      <c r="G357" t="e">
        <f>IF(OR(#REF!="UP",#REF!="DOWN"),1,0)</f>
        <v>#REF!</v>
      </c>
      <c r="H357" t="e">
        <f>IF(OR(#REF!="UP",#REF!="DOWN"),1,0)</f>
        <v>#REF!</v>
      </c>
      <c r="I357" t="e">
        <f>IF(OR(#REF!="UP",#REF!="DOWN"),1,0)</f>
        <v>#REF!</v>
      </c>
      <c r="M357" t="e">
        <f>IF(OR(#REF!="UP",#REF!="DOWN"),0,1)</f>
        <v>#REF!</v>
      </c>
      <c r="N357" t="e">
        <f>IF(OR(#REF!="UP",#REF!="DOWN"),VLOOKUP($C357,Configuración!$H$2:$K$11,3),1)</f>
        <v>#REF!</v>
      </c>
      <c r="O357" t="e">
        <f>IF(OR(#REF!="UP",#REF!="DOWN"),VLOOKUP($C357,Configuración!$H$2:$K$11,4),1)</f>
        <v>#REF!</v>
      </c>
      <c r="P357" t="e">
        <f t="shared" si="53"/>
        <v>#REF!</v>
      </c>
      <c r="Q357" t="e">
        <f t="shared" si="54"/>
        <v>#REF!</v>
      </c>
      <c r="R357" t="e">
        <f t="shared" si="52"/>
        <v>#REF!</v>
      </c>
      <c r="T357" t="e">
        <f>IF(R357&lt;&gt;0,Configuración!$E$2,0)</f>
        <v>#REF!</v>
      </c>
      <c r="U357" t="e">
        <f>IF(R357&lt;&gt;0,Configuración!$F$2,0)</f>
        <v>#REF!</v>
      </c>
      <c r="V357" t="e">
        <f>IF(R357&lt;&gt;0,Configuración!$G$2,0)</f>
        <v>#REF!</v>
      </c>
      <c r="W357" t="e">
        <f t="shared" si="55"/>
        <v>#REF!</v>
      </c>
      <c r="X357" t="e">
        <f t="shared" si="56"/>
        <v>#REF!</v>
      </c>
      <c r="Z357" t="e">
        <f t="shared" si="57"/>
        <v>#REF!</v>
      </c>
      <c r="AB357" t="e">
        <f t="shared" si="58"/>
        <v>#REF!</v>
      </c>
      <c r="AG357" t="e">
        <f t="shared" si="59"/>
        <v>#REF!</v>
      </c>
      <c r="AH357" s="5" t="e">
        <f t="shared" si="60"/>
        <v>#REF!</v>
      </c>
      <c r="AI357" t="e">
        <f t="shared" si="61"/>
        <v>#REF!</v>
      </c>
    </row>
    <row r="358" spans="4:35" x14ac:dyDescent="0.55000000000000004">
      <c r="D358" t="e">
        <f>IF(COUNTIF(#REF!,"&lt;&gt;NAN")=0, 0, IF(AND(OR(#REF!=#REF!,#REF!="NAN"), OR(#REF!=#REF!,#REF!="NAN"), OR(#REF!=#REF!,#REF!="NAN")),#REF!, 0))</f>
        <v>#REF!</v>
      </c>
      <c r="E358" t="e">
        <f>IF(#REF!="NAN","",IF(
   AND(OR(#REF!=#REF!,#REF!="NAN"),
     OR(#REF!=#REF!,#REF!="NAN"),
     OR(#REF!=#REF!,#REF!="NAN")),
   1,
   0))</f>
        <v>#REF!</v>
      </c>
      <c r="G358" t="e">
        <f>IF(OR(#REF!="UP",#REF!="DOWN"),1,0)</f>
        <v>#REF!</v>
      </c>
      <c r="H358" t="e">
        <f>IF(OR(#REF!="UP",#REF!="DOWN"),1,0)</f>
        <v>#REF!</v>
      </c>
      <c r="I358" t="e">
        <f>IF(OR(#REF!="UP",#REF!="DOWN"),1,0)</f>
        <v>#REF!</v>
      </c>
      <c r="M358" t="e">
        <f>IF(OR(#REF!="UP",#REF!="DOWN"),0,1)</f>
        <v>#REF!</v>
      </c>
      <c r="N358" t="e">
        <f>IF(OR(#REF!="UP",#REF!="DOWN"),VLOOKUP($C358,Configuración!$H$2:$K$11,3),1)</f>
        <v>#REF!</v>
      </c>
      <c r="O358" t="e">
        <f>IF(OR(#REF!="UP",#REF!="DOWN"),VLOOKUP($C358,Configuración!$H$2:$K$11,4),1)</f>
        <v>#REF!</v>
      </c>
      <c r="P358" t="e">
        <f t="shared" si="53"/>
        <v>#REF!</v>
      </c>
      <c r="Q358" t="e">
        <f t="shared" si="54"/>
        <v>#REF!</v>
      </c>
      <c r="R358" t="e">
        <f t="shared" si="52"/>
        <v>#REF!</v>
      </c>
      <c r="T358" t="e">
        <f>IF(R358&lt;&gt;0,Configuración!$E$2,0)</f>
        <v>#REF!</v>
      </c>
      <c r="U358" t="e">
        <f>IF(R358&lt;&gt;0,Configuración!$F$2,0)</f>
        <v>#REF!</v>
      </c>
      <c r="V358" t="e">
        <f>IF(R358&lt;&gt;0,Configuración!$G$2,0)</f>
        <v>#REF!</v>
      </c>
      <c r="W358" t="e">
        <f t="shared" si="55"/>
        <v>#REF!</v>
      </c>
      <c r="X358" t="e">
        <f t="shared" si="56"/>
        <v>#REF!</v>
      </c>
      <c r="Z358" t="e">
        <f t="shared" si="57"/>
        <v>#REF!</v>
      </c>
      <c r="AB358" t="e">
        <f t="shared" si="58"/>
        <v>#REF!</v>
      </c>
      <c r="AG358" t="e">
        <f t="shared" si="59"/>
        <v>#REF!</v>
      </c>
      <c r="AH358" s="5" t="e">
        <f t="shared" si="60"/>
        <v>#REF!</v>
      </c>
      <c r="AI358" t="e">
        <f t="shared" si="61"/>
        <v>#REF!</v>
      </c>
    </row>
    <row r="359" spans="4:35" x14ac:dyDescent="0.55000000000000004">
      <c r="D359" t="e">
        <f>IF(COUNTIF(#REF!,"&lt;&gt;NAN")=0, 0, IF(AND(OR(#REF!=#REF!,#REF!="NAN"), OR(#REF!=#REF!,#REF!="NAN"), OR(#REF!=#REF!,#REF!="NAN")),#REF!, 0))</f>
        <v>#REF!</v>
      </c>
      <c r="E359" t="e">
        <f>IF(#REF!="NAN","",IF(
   AND(OR(#REF!=#REF!,#REF!="NAN"),
     OR(#REF!=#REF!,#REF!="NAN"),
     OR(#REF!=#REF!,#REF!="NAN")),
   1,
   0))</f>
        <v>#REF!</v>
      </c>
      <c r="G359" t="e">
        <f>IF(OR(#REF!="UP",#REF!="DOWN"),1,0)</f>
        <v>#REF!</v>
      </c>
      <c r="H359" t="e">
        <f>IF(OR(#REF!="UP",#REF!="DOWN"),1,0)</f>
        <v>#REF!</v>
      </c>
      <c r="I359" t="e">
        <f>IF(OR(#REF!="UP",#REF!="DOWN"),1,0)</f>
        <v>#REF!</v>
      </c>
      <c r="M359" t="e">
        <f>IF(OR(#REF!="UP",#REF!="DOWN"),0,1)</f>
        <v>#REF!</v>
      </c>
      <c r="N359" t="e">
        <f>IF(OR(#REF!="UP",#REF!="DOWN"),VLOOKUP($C359,Configuración!$H$2:$K$11,3),1)</f>
        <v>#REF!</v>
      </c>
      <c r="O359" t="e">
        <f>IF(OR(#REF!="UP",#REF!="DOWN"),VLOOKUP($C359,Configuración!$H$2:$K$11,4),1)</f>
        <v>#REF!</v>
      </c>
      <c r="P359" t="e">
        <f t="shared" si="53"/>
        <v>#REF!</v>
      </c>
      <c r="Q359" t="e">
        <f t="shared" si="54"/>
        <v>#REF!</v>
      </c>
      <c r="R359" t="e">
        <f t="shared" si="52"/>
        <v>#REF!</v>
      </c>
      <c r="T359" t="e">
        <f>IF(R359&lt;&gt;0,Configuración!$E$2,0)</f>
        <v>#REF!</v>
      </c>
      <c r="U359" t="e">
        <f>IF(R359&lt;&gt;0,Configuración!$F$2,0)</f>
        <v>#REF!</v>
      </c>
      <c r="V359" t="e">
        <f>IF(R359&lt;&gt;0,Configuración!$G$2,0)</f>
        <v>#REF!</v>
      </c>
      <c r="W359" t="e">
        <f t="shared" si="55"/>
        <v>#REF!</v>
      </c>
      <c r="X359" t="e">
        <f t="shared" si="56"/>
        <v>#REF!</v>
      </c>
      <c r="Z359" t="e">
        <f t="shared" si="57"/>
        <v>#REF!</v>
      </c>
      <c r="AB359" t="e">
        <f t="shared" si="58"/>
        <v>#REF!</v>
      </c>
      <c r="AG359" t="e">
        <f t="shared" si="59"/>
        <v>#REF!</v>
      </c>
      <c r="AH359" s="5" t="e">
        <f t="shared" si="60"/>
        <v>#REF!</v>
      </c>
      <c r="AI359" t="e">
        <f t="shared" si="61"/>
        <v>#REF!</v>
      </c>
    </row>
    <row r="360" spans="4:35" x14ac:dyDescent="0.55000000000000004">
      <c r="D360" t="e">
        <f>IF(COUNTIF(#REF!,"&lt;&gt;NAN")=0, 0, IF(AND(OR(#REF!=#REF!,#REF!="NAN"), OR(#REF!=#REF!,#REF!="NAN"), OR(#REF!=#REF!,#REF!="NAN")),#REF!, 0))</f>
        <v>#REF!</v>
      </c>
      <c r="E360" t="e">
        <f>IF(#REF!="NAN","",IF(
   AND(OR(#REF!=#REF!,#REF!="NAN"),
     OR(#REF!=#REF!,#REF!="NAN"),
     OR(#REF!=#REF!,#REF!="NAN")),
   1,
   0))</f>
        <v>#REF!</v>
      </c>
      <c r="G360" t="e">
        <f>IF(OR(#REF!="UP",#REF!="DOWN"),1,0)</f>
        <v>#REF!</v>
      </c>
      <c r="H360" t="e">
        <f>IF(OR(#REF!="UP",#REF!="DOWN"),1,0)</f>
        <v>#REF!</v>
      </c>
      <c r="I360" t="e">
        <f>IF(OR(#REF!="UP",#REF!="DOWN"),1,0)</f>
        <v>#REF!</v>
      </c>
      <c r="M360" t="e">
        <f>IF(OR(#REF!="UP",#REF!="DOWN"),0,1)</f>
        <v>#REF!</v>
      </c>
      <c r="N360" t="e">
        <f>IF(OR(#REF!="UP",#REF!="DOWN"),VLOOKUP($C360,Configuración!$H$2:$K$11,3),1)</f>
        <v>#REF!</v>
      </c>
      <c r="O360" t="e">
        <f>IF(OR(#REF!="UP",#REF!="DOWN"),VLOOKUP($C360,Configuración!$H$2:$K$11,4),1)</f>
        <v>#REF!</v>
      </c>
      <c r="P360" t="e">
        <f t="shared" si="53"/>
        <v>#REF!</v>
      </c>
      <c r="Q360" t="e">
        <f t="shared" si="54"/>
        <v>#REF!</v>
      </c>
      <c r="R360" t="e">
        <f t="shared" si="52"/>
        <v>#REF!</v>
      </c>
      <c r="T360" t="e">
        <f>IF(R360&lt;&gt;0,Configuración!$E$2,0)</f>
        <v>#REF!</v>
      </c>
      <c r="U360" t="e">
        <f>IF(R360&lt;&gt;0,Configuración!$F$2,0)</f>
        <v>#REF!</v>
      </c>
      <c r="V360" t="e">
        <f>IF(R360&lt;&gt;0,Configuración!$G$2,0)</f>
        <v>#REF!</v>
      </c>
      <c r="W360" t="e">
        <f t="shared" si="55"/>
        <v>#REF!</v>
      </c>
      <c r="X360" t="e">
        <f t="shared" si="56"/>
        <v>#REF!</v>
      </c>
      <c r="Z360" t="e">
        <f t="shared" si="57"/>
        <v>#REF!</v>
      </c>
      <c r="AB360" t="e">
        <f t="shared" si="58"/>
        <v>#REF!</v>
      </c>
      <c r="AG360" t="e">
        <f t="shared" si="59"/>
        <v>#REF!</v>
      </c>
      <c r="AH360" s="5" t="e">
        <f t="shared" si="60"/>
        <v>#REF!</v>
      </c>
      <c r="AI360" t="e">
        <f t="shared" si="61"/>
        <v>#REF!</v>
      </c>
    </row>
    <row r="361" spans="4:35" x14ac:dyDescent="0.55000000000000004">
      <c r="D361" t="e">
        <f>IF(COUNTIF(#REF!,"&lt;&gt;NAN")=0, 0, IF(AND(OR(#REF!=#REF!,#REF!="NAN"), OR(#REF!=#REF!,#REF!="NAN"), OR(#REF!=#REF!,#REF!="NAN")),#REF!, 0))</f>
        <v>#REF!</v>
      </c>
      <c r="E361" t="e">
        <f>IF(#REF!="NAN","",IF(
   AND(OR(#REF!=#REF!,#REF!="NAN"),
     OR(#REF!=#REF!,#REF!="NAN"),
     OR(#REF!=#REF!,#REF!="NAN")),
   1,
   0))</f>
        <v>#REF!</v>
      </c>
      <c r="G361" t="e">
        <f>IF(OR(#REF!="UP",#REF!="DOWN"),1,0)</f>
        <v>#REF!</v>
      </c>
      <c r="H361" t="e">
        <f>IF(OR(#REF!="UP",#REF!="DOWN"),1,0)</f>
        <v>#REF!</v>
      </c>
      <c r="I361" t="e">
        <f>IF(OR(#REF!="UP",#REF!="DOWN"),1,0)</f>
        <v>#REF!</v>
      </c>
      <c r="M361" t="e">
        <f>IF(OR(#REF!="UP",#REF!="DOWN"),0,1)</f>
        <v>#REF!</v>
      </c>
      <c r="N361" t="e">
        <f>IF(OR(#REF!="UP",#REF!="DOWN"),VLOOKUP($C361,Configuración!$H$2:$K$11,3),1)</f>
        <v>#REF!</v>
      </c>
      <c r="O361" t="e">
        <f>IF(OR(#REF!="UP",#REF!="DOWN"),VLOOKUP($C361,Configuración!$H$2:$K$11,4),1)</f>
        <v>#REF!</v>
      </c>
      <c r="P361" t="e">
        <f t="shared" si="53"/>
        <v>#REF!</v>
      </c>
      <c r="Q361" t="e">
        <f t="shared" si="54"/>
        <v>#REF!</v>
      </c>
      <c r="R361" t="e">
        <f t="shared" si="52"/>
        <v>#REF!</v>
      </c>
      <c r="T361" t="e">
        <f>IF(R361&lt;&gt;0,Configuración!$E$2,0)</f>
        <v>#REF!</v>
      </c>
      <c r="U361" t="e">
        <f>IF(R361&lt;&gt;0,Configuración!$F$2,0)</f>
        <v>#REF!</v>
      </c>
      <c r="V361" t="e">
        <f>IF(R361&lt;&gt;0,Configuración!$G$2,0)</f>
        <v>#REF!</v>
      </c>
      <c r="W361" t="e">
        <f t="shared" si="55"/>
        <v>#REF!</v>
      </c>
      <c r="X361" t="e">
        <f t="shared" si="56"/>
        <v>#REF!</v>
      </c>
      <c r="Z361" t="e">
        <f t="shared" si="57"/>
        <v>#REF!</v>
      </c>
      <c r="AB361" t="e">
        <f t="shared" si="58"/>
        <v>#REF!</v>
      </c>
      <c r="AG361" t="e">
        <f t="shared" si="59"/>
        <v>#REF!</v>
      </c>
      <c r="AH361" s="5" t="e">
        <f t="shared" si="60"/>
        <v>#REF!</v>
      </c>
      <c r="AI361" t="e">
        <f t="shared" si="61"/>
        <v>#REF!</v>
      </c>
    </row>
    <row r="362" spans="4:35" x14ac:dyDescent="0.55000000000000004">
      <c r="D362" t="e">
        <f>IF(COUNTIF(#REF!,"&lt;&gt;NAN")=0, 0, IF(AND(OR(#REF!=#REF!,#REF!="NAN"), OR(#REF!=#REF!,#REF!="NAN"), OR(#REF!=#REF!,#REF!="NAN")),#REF!, 0))</f>
        <v>#REF!</v>
      </c>
      <c r="E362" t="e">
        <f>IF(#REF!="NAN","",IF(
   AND(OR(#REF!=#REF!,#REF!="NAN"),
     OR(#REF!=#REF!,#REF!="NAN"),
     OR(#REF!=#REF!,#REF!="NAN")),
   1,
   0))</f>
        <v>#REF!</v>
      </c>
      <c r="G362" t="e">
        <f>IF(OR(#REF!="UP",#REF!="DOWN"),1,0)</f>
        <v>#REF!</v>
      </c>
      <c r="H362" t="e">
        <f>IF(OR(#REF!="UP",#REF!="DOWN"),1,0)</f>
        <v>#REF!</v>
      </c>
      <c r="I362" t="e">
        <f>IF(OR(#REF!="UP",#REF!="DOWN"),1,0)</f>
        <v>#REF!</v>
      </c>
      <c r="M362" t="e">
        <f>IF(OR(#REF!="UP",#REF!="DOWN"),0,1)</f>
        <v>#REF!</v>
      </c>
      <c r="N362" t="e">
        <f>IF(OR(#REF!="UP",#REF!="DOWN"),VLOOKUP($C362,Configuración!$H$2:$K$11,3),1)</f>
        <v>#REF!</v>
      </c>
      <c r="O362" t="e">
        <f>IF(OR(#REF!="UP",#REF!="DOWN"),VLOOKUP($C362,Configuración!$H$2:$K$11,4),1)</f>
        <v>#REF!</v>
      </c>
      <c r="P362" t="e">
        <f t="shared" si="53"/>
        <v>#REF!</v>
      </c>
      <c r="Q362" t="e">
        <f t="shared" si="54"/>
        <v>#REF!</v>
      </c>
      <c r="R362" t="e">
        <f t="shared" si="52"/>
        <v>#REF!</v>
      </c>
      <c r="T362" t="e">
        <f>IF(R362&lt;&gt;0,Configuración!$E$2,0)</f>
        <v>#REF!</v>
      </c>
      <c r="U362" t="e">
        <f>IF(R362&lt;&gt;0,Configuración!$F$2,0)</f>
        <v>#REF!</v>
      </c>
      <c r="V362" t="e">
        <f>IF(R362&lt;&gt;0,Configuración!$G$2,0)</f>
        <v>#REF!</v>
      </c>
      <c r="W362" t="e">
        <f t="shared" si="55"/>
        <v>#REF!</v>
      </c>
      <c r="X362" t="e">
        <f t="shared" si="56"/>
        <v>#REF!</v>
      </c>
      <c r="Z362" t="e">
        <f t="shared" si="57"/>
        <v>#REF!</v>
      </c>
      <c r="AB362" t="e">
        <f t="shared" si="58"/>
        <v>#REF!</v>
      </c>
      <c r="AG362" t="e">
        <f t="shared" si="59"/>
        <v>#REF!</v>
      </c>
      <c r="AH362" s="5" t="e">
        <f t="shared" si="60"/>
        <v>#REF!</v>
      </c>
      <c r="AI362" t="e">
        <f t="shared" si="61"/>
        <v>#REF!</v>
      </c>
    </row>
    <row r="363" spans="4:35" x14ac:dyDescent="0.55000000000000004">
      <c r="D363" t="e">
        <f>IF(COUNTIF(#REF!,"&lt;&gt;NAN")=0, 0, IF(AND(OR(#REF!=#REF!,#REF!="NAN"), OR(#REF!=#REF!,#REF!="NAN"), OR(#REF!=#REF!,#REF!="NAN")),#REF!, 0))</f>
        <v>#REF!</v>
      </c>
      <c r="E363" t="e">
        <f>IF(#REF!="NAN","",IF(
   AND(OR(#REF!=#REF!,#REF!="NAN"),
     OR(#REF!=#REF!,#REF!="NAN"),
     OR(#REF!=#REF!,#REF!="NAN")),
   1,
   0))</f>
        <v>#REF!</v>
      </c>
      <c r="G363" t="e">
        <f>IF(OR(#REF!="UP",#REF!="DOWN"),1,0)</f>
        <v>#REF!</v>
      </c>
      <c r="H363" t="e">
        <f>IF(OR(#REF!="UP",#REF!="DOWN"),1,0)</f>
        <v>#REF!</v>
      </c>
      <c r="I363" t="e">
        <f>IF(OR(#REF!="UP",#REF!="DOWN"),1,0)</f>
        <v>#REF!</v>
      </c>
      <c r="M363" t="e">
        <f>IF(OR(#REF!="UP",#REF!="DOWN"),0,1)</f>
        <v>#REF!</v>
      </c>
      <c r="N363" t="e">
        <f>IF(OR(#REF!="UP",#REF!="DOWN"),VLOOKUP($C363,Configuración!$H$2:$K$11,3),1)</f>
        <v>#REF!</v>
      </c>
      <c r="O363" t="e">
        <f>IF(OR(#REF!="UP",#REF!="DOWN"),VLOOKUP($C363,Configuración!$H$2:$K$11,4),1)</f>
        <v>#REF!</v>
      </c>
      <c r="P363" t="e">
        <f t="shared" si="53"/>
        <v>#REF!</v>
      </c>
      <c r="Q363" t="e">
        <f t="shared" si="54"/>
        <v>#REF!</v>
      </c>
      <c r="R363" t="e">
        <f t="shared" si="52"/>
        <v>#REF!</v>
      </c>
      <c r="T363" t="e">
        <f>IF(R363&lt;&gt;0,Configuración!$E$2,0)</f>
        <v>#REF!</v>
      </c>
      <c r="U363" t="e">
        <f>IF(R363&lt;&gt;0,Configuración!$F$2,0)</f>
        <v>#REF!</v>
      </c>
      <c r="V363" t="e">
        <f>IF(R363&lt;&gt;0,Configuración!$G$2,0)</f>
        <v>#REF!</v>
      </c>
      <c r="W363" t="e">
        <f t="shared" si="55"/>
        <v>#REF!</v>
      </c>
      <c r="X363" t="e">
        <f t="shared" si="56"/>
        <v>#REF!</v>
      </c>
      <c r="Z363" t="e">
        <f t="shared" si="57"/>
        <v>#REF!</v>
      </c>
      <c r="AB363" t="e">
        <f t="shared" si="58"/>
        <v>#REF!</v>
      </c>
      <c r="AG363" t="e">
        <f t="shared" si="59"/>
        <v>#REF!</v>
      </c>
      <c r="AH363" s="5" t="e">
        <f t="shared" si="60"/>
        <v>#REF!</v>
      </c>
      <c r="AI363" t="e">
        <f t="shared" si="61"/>
        <v>#REF!</v>
      </c>
    </row>
    <row r="364" spans="4:35" x14ac:dyDescent="0.55000000000000004">
      <c r="D364" t="e">
        <f>IF(COUNTIF(#REF!,"&lt;&gt;NAN")=0, 0, IF(AND(OR(#REF!=#REF!,#REF!="NAN"), OR(#REF!=#REF!,#REF!="NAN"), OR(#REF!=#REF!,#REF!="NAN")),#REF!, 0))</f>
        <v>#REF!</v>
      </c>
      <c r="E364" t="e">
        <f>IF(#REF!="NAN","",IF(
   AND(OR(#REF!=#REF!,#REF!="NAN"),
     OR(#REF!=#REF!,#REF!="NAN"),
     OR(#REF!=#REF!,#REF!="NAN")),
   1,
   0))</f>
        <v>#REF!</v>
      </c>
      <c r="G364" t="e">
        <f>IF(OR(#REF!="UP",#REF!="DOWN"),1,0)</f>
        <v>#REF!</v>
      </c>
      <c r="H364" t="e">
        <f>IF(OR(#REF!="UP",#REF!="DOWN"),1,0)</f>
        <v>#REF!</v>
      </c>
      <c r="I364" t="e">
        <f>IF(OR(#REF!="UP",#REF!="DOWN"),1,0)</f>
        <v>#REF!</v>
      </c>
      <c r="M364" t="e">
        <f>IF(OR(#REF!="UP",#REF!="DOWN"),0,1)</f>
        <v>#REF!</v>
      </c>
      <c r="N364" t="e">
        <f>IF(OR(#REF!="UP",#REF!="DOWN"),VLOOKUP($C364,Configuración!$H$2:$K$11,3),1)</f>
        <v>#REF!</v>
      </c>
      <c r="O364" t="e">
        <f>IF(OR(#REF!="UP",#REF!="DOWN"),VLOOKUP($C364,Configuración!$H$2:$K$11,4),1)</f>
        <v>#REF!</v>
      </c>
      <c r="P364" t="e">
        <f t="shared" si="53"/>
        <v>#REF!</v>
      </c>
      <c r="Q364" t="e">
        <f t="shared" si="54"/>
        <v>#REF!</v>
      </c>
      <c r="R364" t="e">
        <f t="shared" si="52"/>
        <v>#REF!</v>
      </c>
      <c r="T364" t="e">
        <f>IF(R364&lt;&gt;0,Configuración!$E$2,0)</f>
        <v>#REF!</v>
      </c>
      <c r="U364" t="e">
        <f>IF(R364&lt;&gt;0,Configuración!$F$2,0)</f>
        <v>#REF!</v>
      </c>
      <c r="V364" t="e">
        <f>IF(R364&lt;&gt;0,Configuración!$G$2,0)</f>
        <v>#REF!</v>
      </c>
      <c r="W364" t="e">
        <f t="shared" si="55"/>
        <v>#REF!</v>
      </c>
      <c r="X364" t="e">
        <f t="shared" si="56"/>
        <v>#REF!</v>
      </c>
      <c r="Z364" t="e">
        <f t="shared" si="57"/>
        <v>#REF!</v>
      </c>
      <c r="AB364" t="e">
        <f t="shared" si="58"/>
        <v>#REF!</v>
      </c>
      <c r="AG364" t="e">
        <f t="shared" si="59"/>
        <v>#REF!</v>
      </c>
      <c r="AH364" s="5" t="e">
        <f t="shared" si="60"/>
        <v>#REF!</v>
      </c>
      <c r="AI364" t="e">
        <f t="shared" si="61"/>
        <v>#REF!</v>
      </c>
    </row>
    <row r="365" spans="4:35" x14ac:dyDescent="0.55000000000000004">
      <c r="D365" t="e">
        <f>IF(COUNTIF(#REF!,"&lt;&gt;NAN")=0, 0, IF(AND(OR(#REF!=#REF!,#REF!="NAN"), OR(#REF!=#REF!,#REF!="NAN"), OR(#REF!=#REF!,#REF!="NAN")),#REF!, 0))</f>
        <v>#REF!</v>
      </c>
      <c r="E365" t="e">
        <f>IF(#REF!="NAN","",IF(
   AND(OR(#REF!=#REF!,#REF!="NAN"),
     OR(#REF!=#REF!,#REF!="NAN"),
     OR(#REF!=#REF!,#REF!="NAN")),
   1,
   0))</f>
        <v>#REF!</v>
      </c>
      <c r="G365" t="e">
        <f>IF(OR(#REF!="UP",#REF!="DOWN"),1,0)</f>
        <v>#REF!</v>
      </c>
      <c r="H365" t="e">
        <f>IF(OR(#REF!="UP",#REF!="DOWN"),1,0)</f>
        <v>#REF!</v>
      </c>
      <c r="I365" t="e">
        <f>IF(OR(#REF!="UP",#REF!="DOWN"),1,0)</f>
        <v>#REF!</v>
      </c>
      <c r="M365" t="e">
        <f>IF(OR(#REF!="UP",#REF!="DOWN"),0,1)</f>
        <v>#REF!</v>
      </c>
      <c r="N365" t="e">
        <f>IF(OR(#REF!="UP",#REF!="DOWN"),VLOOKUP($C365,Configuración!$H$2:$K$11,3),1)</f>
        <v>#REF!</v>
      </c>
      <c r="O365" t="e">
        <f>IF(OR(#REF!="UP",#REF!="DOWN"),VLOOKUP($C365,Configuración!$H$2:$K$11,4),1)</f>
        <v>#REF!</v>
      </c>
      <c r="P365" t="e">
        <f t="shared" si="53"/>
        <v>#REF!</v>
      </c>
      <c r="Q365" t="e">
        <f t="shared" si="54"/>
        <v>#REF!</v>
      </c>
      <c r="R365" t="e">
        <f t="shared" si="52"/>
        <v>#REF!</v>
      </c>
      <c r="T365" t="e">
        <f>IF(R365&lt;&gt;0,Configuración!$E$2,0)</f>
        <v>#REF!</v>
      </c>
      <c r="U365" t="e">
        <f>IF(R365&lt;&gt;0,Configuración!$F$2,0)</f>
        <v>#REF!</v>
      </c>
      <c r="V365" t="e">
        <f>IF(R365&lt;&gt;0,Configuración!$G$2,0)</f>
        <v>#REF!</v>
      </c>
      <c r="W365" t="e">
        <f t="shared" si="55"/>
        <v>#REF!</v>
      </c>
      <c r="X365" t="e">
        <f t="shared" si="56"/>
        <v>#REF!</v>
      </c>
      <c r="Z365" t="e">
        <f t="shared" si="57"/>
        <v>#REF!</v>
      </c>
      <c r="AB365" t="e">
        <f t="shared" si="58"/>
        <v>#REF!</v>
      </c>
      <c r="AG365" t="e">
        <f t="shared" si="59"/>
        <v>#REF!</v>
      </c>
      <c r="AH365" s="5" t="e">
        <f t="shared" si="60"/>
        <v>#REF!</v>
      </c>
      <c r="AI365" t="e">
        <f t="shared" si="61"/>
        <v>#REF!</v>
      </c>
    </row>
    <row r="366" spans="4:35" x14ac:dyDescent="0.55000000000000004">
      <c r="D366" t="e">
        <f>IF(COUNTIF(#REF!,"&lt;&gt;NAN")=0, 0, IF(AND(OR(#REF!=#REF!,#REF!="NAN"), OR(#REF!=#REF!,#REF!="NAN"), OR(#REF!=#REF!,#REF!="NAN")),#REF!, 0))</f>
        <v>#REF!</v>
      </c>
      <c r="E366" t="e">
        <f>IF(#REF!="NAN","",IF(
   AND(OR(#REF!=#REF!,#REF!="NAN"),
     OR(#REF!=#REF!,#REF!="NAN"),
     OR(#REF!=#REF!,#REF!="NAN")),
   1,
   0))</f>
        <v>#REF!</v>
      </c>
      <c r="G366" t="e">
        <f>IF(OR(#REF!="UP",#REF!="DOWN"),1,0)</f>
        <v>#REF!</v>
      </c>
      <c r="H366" t="e">
        <f>IF(OR(#REF!="UP",#REF!="DOWN"),1,0)</f>
        <v>#REF!</v>
      </c>
      <c r="I366" t="e">
        <f>IF(OR(#REF!="UP",#REF!="DOWN"),1,0)</f>
        <v>#REF!</v>
      </c>
      <c r="M366" t="e">
        <f>IF(OR(#REF!="UP",#REF!="DOWN"),0,1)</f>
        <v>#REF!</v>
      </c>
      <c r="N366" t="e">
        <f>IF(OR(#REF!="UP",#REF!="DOWN"),VLOOKUP($C366,Configuración!$H$2:$K$11,3),1)</f>
        <v>#REF!</v>
      </c>
      <c r="O366" t="e">
        <f>IF(OR(#REF!="UP",#REF!="DOWN"),VLOOKUP($C366,Configuración!$H$2:$K$11,4),1)</f>
        <v>#REF!</v>
      </c>
      <c r="P366" t="e">
        <f t="shared" si="53"/>
        <v>#REF!</v>
      </c>
      <c r="Q366" t="e">
        <f t="shared" si="54"/>
        <v>#REF!</v>
      </c>
      <c r="R366" t="e">
        <f t="shared" si="52"/>
        <v>#REF!</v>
      </c>
      <c r="T366" t="e">
        <f>IF(R366&lt;&gt;0,Configuración!$E$2,0)</f>
        <v>#REF!</v>
      </c>
      <c r="U366" t="e">
        <f>IF(R366&lt;&gt;0,Configuración!$F$2,0)</f>
        <v>#REF!</v>
      </c>
      <c r="V366" t="e">
        <f>IF(R366&lt;&gt;0,Configuración!$G$2,0)</f>
        <v>#REF!</v>
      </c>
      <c r="W366" t="e">
        <f t="shared" si="55"/>
        <v>#REF!</v>
      </c>
      <c r="X366" t="e">
        <f t="shared" si="56"/>
        <v>#REF!</v>
      </c>
      <c r="Z366" t="e">
        <f t="shared" si="57"/>
        <v>#REF!</v>
      </c>
      <c r="AB366" t="e">
        <f t="shared" si="58"/>
        <v>#REF!</v>
      </c>
      <c r="AG366" t="e">
        <f t="shared" si="59"/>
        <v>#REF!</v>
      </c>
      <c r="AH366" s="5" t="e">
        <f t="shared" si="60"/>
        <v>#REF!</v>
      </c>
      <c r="AI366" t="e">
        <f t="shared" si="61"/>
        <v>#REF!</v>
      </c>
    </row>
    <row r="367" spans="4:35" x14ac:dyDescent="0.55000000000000004">
      <c r="D367" t="e">
        <f>IF(COUNTIF(#REF!,"&lt;&gt;NAN")=0, 0, IF(AND(OR(#REF!=#REF!,#REF!="NAN"), OR(#REF!=#REF!,#REF!="NAN"), OR(#REF!=#REF!,#REF!="NAN")),#REF!, 0))</f>
        <v>#REF!</v>
      </c>
      <c r="E367" t="e">
        <f>IF(#REF!="NAN","",IF(
   AND(OR(#REF!=#REF!,#REF!="NAN"),
     OR(#REF!=#REF!,#REF!="NAN"),
     OR(#REF!=#REF!,#REF!="NAN")),
   1,
   0))</f>
        <v>#REF!</v>
      </c>
      <c r="G367" t="e">
        <f>IF(OR(#REF!="UP",#REF!="DOWN"),1,0)</f>
        <v>#REF!</v>
      </c>
      <c r="H367" t="e">
        <f>IF(OR(#REF!="UP",#REF!="DOWN"),1,0)</f>
        <v>#REF!</v>
      </c>
      <c r="I367" t="e">
        <f>IF(OR(#REF!="UP",#REF!="DOWN"),1,0)</f>
        <v>#REF!</v>
      </c>
      <c r="M367" t="e">
        <f>IF(OR(#REF!="UP",#REF!="DOWN"),0,1)</f>
        <v>#REF!</v>
      </c>
      <c r="N367" t="e">
        <f>IF(OR(#REF!="UP",#REF!="DOWN"),VLOOKUP($C367,Configuración!$H$2:$K$11,3),1)</f>
        <v>#REF!</v>
      </c>
      <c r="O367" t="e">
        <f>IF(OR(#REF!="UP",#REF!="DOWN"),VLOOKUP($C367,Configuración!$H$2:$K$11,4),1)</f>
        <v>#REF!</v>
      </c>
      <c r="P367" t="e">
        <f t="shared" si="53"/>
        <v>#REF!</v>
      </c>
      <c r="Q367" t="e">
        <f t="shared" si="54"/>
        <v>#REF!</v>
      </c>
      <c r="R367" t="e">
        <f t="shared" si="52"/>
        <v>#REF!</v>
      </c>
      <c r="T367" t="e">
        <f>IF(R367&lt;&gt;0,Configuración!$E$2,0)</f>
        <v>#REF!</v>
      </c>
      <c r="U367" t="e">
        <f>IF(R367&lt;&gt;0,Configuración!$F$2,0)</f>
        <v>#REF!</v>
      </c>
      <c r="V367" t="e">
        <f>IF(R367&lt;&gt;0,Configuración!$G$2,0)</f>
        <v>#REF!</v>
      </c>
      <c r="W367" t="e">
        <f t="shared" si="55"/>
        <v>#REF!</v>
      </c>
      <c r="X367" t="e">
        <f t="shared" si="56"/>
        <v>#REF!</v>
      </c>
      <c r="Z367" t="e">
        <f t="shared" si="57"/>
        <v>#REF!</v>
      </c>
      <c r="AB367" t="e">
        <f t="shared" si="58"/>
        <v>#REF!</v>
      </c>
      <c r="AG367" t="e">
        <f t="shared" si="59"/>
        <v>#REF!</v>
      </c>
      <c r="AH367" s="5" t="e">
        <f t="shared" si="60"/>
        <v>#REF!</v>
      </c>
      <c r="AI367" t="e">
        <f t="shared" si="61"/>
        <v>#REF!</v>
      </c>
    </row>
    <row r="368" spans="4:35" x14ac:dyDescent="0.55000000000000004">
      <c r="D368" t="e">
        <f>IF(COUNTIF(#REF!,"&lt;&gt;NAN")=0, 0, IF(AND(OR(#REF!=#REF!,#REF!="NAN"), OR(#REF!=#REF!,#REF!="NAN"), OR(#REF!=#REF!,#REF!="NAN")),#REF!, 0))</f>
        <v>#REF!</v>
      </c>
      <c r="E368" t="e">
        <f>IF(#REF!="NAN","",IF(
   AND(OR(#REF!=#REF!,#REF!="NAN"),
     OR(#REF!=#REF!,#REF!="NAN"),
     OR(#REF!=#REF!,#REF!="NAN")),
   1,
   0))</f>
        <v>#REF!</v>
      </c>
      <c r="G368" t="e">
        <f>IF(OR(#REF!="UP",#REF!="DOWN"),1,0)</f>
        <v>#REF!</v>
      </c>
      <c r="H368" t="e">
        <f>IF(OR(#REF!="UP",#REF!="DOWN"),1,0)</f>
        <v>#REF!</v>
      </c>
      <c r="I368" t="e">
        <f>IF(OR(#REF!="UP",#REF!="DOWN"),1,0)</f>
        <v>#REF!</v>
      </c>
      <c r="M368" t="e">
        <f>IF(OR(#REF!="UP",#REF!="DOWN"),0,1)</f>
        <v>#REF!</v>
      </c>
      <c r="N368" t="e">
        <f>IF(OR(#REF!="UP",#REF!="DOWN"),VLOOKUP($C368,Configuración!$H$2:$K$11,3),1)</f>
        <v>#REF!</v>
      </c>
      <c r="O368" t="e">
        <f>IF(OR(#REF!="UP",#REF!="DOWN"),VLOOKUP($C368,Configuración!$H$2:$K$11,4),1)</f>
        <v>#REF!</v>
      </c>
      <c r="P368" t="e">
        <f t="shared" si="53"/>
        <v>#REF!</v>
      </c>
      <c r="Q368" t="e">
        <f t="shared" si="54"/>
        <v>#REF!</v>
      </c>
      <c r="R368" t="e">
        <f t="shared" ref="R368:R431" si="62">IF(AND(OR(D368="UP",D368="DOWN"), Q368&gt;0.9), D368, 0)</f>
        <v>#REF!</v>
      </c>
      <c r="T368" t="e">
        <f>IF(R368&lt;&gt;0,Configuración!$E$2,0)</f>
        <v>#REF!</v>
      </c>
      <c r="U368" t="e">
        <f>IF(R368&lt;&gt;0,Configuración!$F$2,0)</f>
        <v>#REF!</v>
      </c>
      <c r="V368" t="e">
        <f>IF(R368&lt;&gt;0,Configuración!$G$2,0)</f>
        <v>#REF!</v>
      </c>
      <c r="W368" t="e">
        <f t="shared" si="55"/>
        <v>#REF!</v>
      </c>
      <c r="X368" t="e">
        <f t="shared" si="56"/>
        <v>#REF!</v>
      </c>
      <c r="Z368" t="e">
        <f t="shared" si="57"/>
        <v>#REF!</v>
      </c>
      <c r="AB368" t="e">
        <f t="shared" si="58"/>
        <v>#REF!</v>
      </c>
      <c r="AG368" t="e">
        <f t="shared" si="59"/>
        <v>#REF!</v>
      </c>
      <c r="AH368" s="5" t="e">
        <f t="shared" si="60"/>
        <v>#REF!</v>
      </c>
      <c r="AI368" t="e">
        <f t="shared" si="61"/>
        <v>#REF!</v>
      </c>
    </row>
    <row r="369" spans="4:35" x14ac:dyDescent="0.55000000000000004">
      <c r="D369" t="e">
        <f>IF(COUNTIF(#REF!,"&lt;&gt;NAN")=0, 0, IF(AND(OR(#REF!=#REF!,#REF!="NAN"), OR(#REF!=#REF!,#REF!="NAN"), OR(#REF!=#REF!,#REF!="NAN")),#REF!, 0))</f>
        <v>#REF!</v>
      </c>
      <c r="E369" t="e">
        <f>IF(#REF!="NAN","",IF(
   AND(OR(#REF!=#REF!,#REF!="NAN"),
     OR(#REF!=#REF!,#REF!="NAN"),
     OR(#REF!=#REF!,#REF!="NAN")),
   1,
   0))</f>
        <v>#REF!</v>
      </c>
      <c r="G369" t="e">
        <f>IF(OR(#REF!="UP",#REF!="DOWN"),1,0)</f>
        <v>#REF!</v>
      </c>
      <c r="H369" t="e">
        <f>IF(OR(#REF!="UP",#REF!="DOWN"),1,0)</f>
        <v>#REF!</v>
      </c>
      <c r="I369" t="e">
        <f>IF(OR(#REF!="UP",#REF!="DOWN"),1,0)</f>
        <v>#REF!</v>
      </c>
      <c r="M369" t="e">
        <f>IF(OR(#REF!="UP",#REF!="DOWN"),0,1)</f>
        <v>#REF!</v>
      </c>
      <c r="N369" t="e">
        <f>IF(OR(#REF!="UP",#REF!="DOWN"),VLOOKUP($C369,Configuración!$H$2:$K$11,3),1)</f>
        <v>#REF!</v>
      </c>
      <c r="O369" t="e">
        <f>IF(OR(#REF!="UP",#REF!="DOWN"),VLOOKUP($C369,Configuración!$H$2:$K$11,4),1)</f>
        <v>#REF!</v>
      </c>
      <c r="P369" t="e">
        <f t="shared" si="53"/>
        <v>#REF!</v>
      </c>
      <c r="Q369" t="e">
        <f t="shared" si="54"/>
        <v>#REF!</v>
      </c>
      <c r="R369" t="e">
        <f t="shared" si="62"/>
        <v>#REF!</v>
      </c>
      <c r="T369" t="e">
        <f>IF(R369&lt;&gt;0,Configuración!$E$2,0)</f>
        <v>#REF!</v>
      </c>
      <c r="U369" t="e">
        <f>IF(R369&lt;&gt;0,Configuración!$F$2,0)</f>
        <v>#REF!</v>
      </c>
      <c r="V369" t="e">
        <f>IF(R369&lt;&gt;0,Configuración!$G$2,0)</f>
        <v>#REF!</v>
      </c>
      <c r="W369" t="e">
        <f t="shared" si="55"/>
        <v>#REF!</v>
      </c>
      <c r="X369" t="e">
        <f t="shared" si="56"/>
        <v>#REF!</v>
      </c>
      <c r="Z369" t="e">
        <f t="shared" si="57"/>
        <v>#REF!</v>
      </c>
      <c r="AB369" t="e">
        <f t="shared" si="58"/>
        <v>#REF!</v>
      </c>
      <c r="AG369" t="e">
        <f t="shared" si="59"/>
        <v>#REF!</v>
      </c>
      <c r="AH369" s="5" t="e">
        <f t="shared" si="60"/>
        <v>#REF!</v>
      </c>
      <c r="AI369" t="e">
        <f t="shared" si="61"/>
        <v>#REF!</v>
      </c>
    </row>
    <row r="370" spans="4:35" x14ac:dyDescent="0.55000000000000004">
      <c r="D370" t="e">
        <f>IF(COUNTIF(#REF!,"&lt;&gt;NAN")=0, 0, IF(AND(OR(#REF!=#REF!,#REF!="NAN"), OR(#REF!=#REF!,#REF!="NAN"), OR(#REF!=#REF!,#REF!="NAN")),#REF!, 0))</f>
        <v>#REF!</v>
      </c>
      <c r="E370" t="e">
        <f>IF(#REF!="NAN","",IF(
   AND(OR(#REF!=#REF!,#REF!="NAN"),
     OR(#REF!=#REF!,#REF!="NAN"),
     OR(#REF!=#REF!,#REF!="NAN")),
   1,
   0))</f>
        <v>#REF!</v>
      </c>
      <c r="G370" t="e">
        <f>IF(OR(#REF!="UP",#REF!="DOWN"),1,0)</f>
        <v>#REF!</v>
      </c>
      <c r="H370" t="e">
        <f>IF(OR(#REF!="UP",#REF!="DOWN"),1,0)</f>
        <v>#REF!</v>
      </c>
      <c r="I370" t="e">
        <f>IF(OR(#REF!="UP",#REF!="DOWN"),1,0)</f>
        <v>#REF!</v>
      </c>
      <c r="M370" t="e">
        <f>IF(OR(#REF!="UP",#REF!="DOWN"),0,1)</f>
        <v>#REF!</v>
      </c>
      <c r="N370" t="e">
        <f>IF(OR(#REF!="UP",#REF!="DOWN"),VLOOKUP($C370,Configuración!$H$2:$K$11,3),1)</f>
        <v>#REF!</v>
      </c>
      <c r="O370" t="e">
        <f>IF(OR(#REF!="UP",#REF!="DOWN"),VLOOKUP($C370,Configuración!$H$2:$K$11,4),1)</f>
        <v>#REF!</v>
      </c>
      <c r="P370" t="e">
        <f t="shared" si="53"/>
        <v>#REF!</v>
      </c>
      <c r="Q370" t="e">
        <f t="shared" si="54"/>
        <v>#REF!</v>
      </c>
      <c r="R370" t="e">
        <f t="shared" si="62"/>
        <v>#REF!</v>
      </c>
      <c r="T370" t="e">
        <f>IF(R370&lt;&gt;0,Configuración!$E$2,0)</f>
        <v>#REF!</v>
      </c>
      <c r="U370" t="e">
        <f>IF(R370&lt;&gt;0,Configuración!$F$2,0)</f>
        <v>#REF!</v>
      </c>
      <c r="V370" t="e">
        <f>IF(R370&lt;&gt;0,Configuración!$G$2,0)</f>
        <v>#REF!</v>
      </c>
      <c r="W370" t="e">
        <f t="shared" si="55"/>
        <v>#REF!</v>
      </c>
      <c r="X370" t="e">
        <f t="shared" si="56"/>
        <v>#REF!</v>
      </c>
      <c r="Z370" t="e">
        <f t="shared" si="57"/>
        <v>#REF!</v>
      </c>
      <c r="AB370" t="e">
        <f t="shared" si="58"/>
        <v>#REF!</v>
      </c>
      <c r="AG370" t="e">
        <f t="shared" si="59"/>
        <v>#REF!</v>
      </c>
      <c r="AH370" s="5" t="e">
        <f t="shared" si="60"/>
        <v>#REF!</v>
      </c>
      <c r="AI370" t="e">
        <f t="shared" si="61"/>
        <v>#REF!</v>
      </c>
    </row>
    <row r="371" spans="4:35" x14ac:dyDescent="0.55000000000000004">
      <c r="D371" t="e">
        <f>IF(COUNTIF(#REF!,"&lt;&gt;NAN")=0, 0, IF(AND(OR(#REF!=#REF!,#REF!="NAN"), OR(#REF!=#REF!,#REF!="NAN"), OR(#REF!=#REF!,#REF!="NAN")),#REF!, 0))</f>
        <v>#REF!</v>
      </c>
      <c r="E371" t="e">
        <f>IF(#REF!="NAN","",IF(
   AND(OR(#REF!=#REF!,#REF!="NAN"),
     OR(#REF!=#REF!,#REF!="NAN"),
     OR(#REF!=#REF!,#REF!="NAN")),
   1,
   0))</f>
        <v>#REF!</v>
      </c>
      <c r="G371" t="e">
        <f>IF(OR(#REF!="UP",#REF!="DOWN"),1,0)</f>
        <v>#REF!</v>
      </c>
      <c r="H371" t="e">
        <f>IF(OR(#REF!="UP",#REF!="DOWN"),1,0)</f>
        <v>#REF!</v>
      </c>
      <c r="I371" t="e">
        <f>IF(OR(#REF!="UP",#REF!="DOWN"),1,0)</f>
        <v>#REF!</v>
      </c>
      <c r="M371" t="e">
        <f>IF(OR(#REF!="UP",#REF!="DOWN"),0,1)</f>
        <v>#REF!</v>
      </c>
      <c r="N371" t="e">
        <f>IF(OR(#REF!="UP",#REF!="DOWN"),VLOOKUP($C371,Configuración!$H$2:$K$11,3),1)</f>
        <v>#REF!</v>
      </c>
      <c r="O371" t="e">
        <f>IF(OR(#REF!="UP",#REF!="DOWN"),VLOOKUP($C371,Configuración!$H$2:$K$11,4),1)</f>
        <v>#REF!</v>
      </c>
      <c r="P371" t="e">
        <f t="shared" si="53"/>
        <v>#REF!</v>
      </c>
      <c r="Q371" t="e">
        <f t="shared" si="54"/>
        <v>#REF!</v>
      </c>
      <c r="R371" t="e">
        <f t="shared" si="62"/>
        <v>#REF!</v>
      </c>
      <c r="T371" t="e">
        <f>IF(R371&lt;&gt;0,Configuración!$E$2,0)</f>
        <v>#REF!</v>
      </c>
      <c r="U371" t="e">
        <f>IF(R371&lt;&gt;0,Configuración!$F$2,0)</f>
        <v>#REF!</v>
      </c>
      <c r="V371" t="e">
        <f>IF(R371&lt;&gt;0,Configuración!$G$2,0)</f>
        <v>#REF!</v>
      </c>
      <c r="W371" t="e">
        <f t="shared" si="55"/>
        <v>#REF!</v>
      </c>
      <c r="X371" t="e">
        <f t="shared" si="56"/>
        <v>#REF!</v>
      </c>
      <c r="Z371" t="e">
        <f t="shared" si="57"/>
        <v>#REF!</v>
      </c>
      <c r="AB371" t="e">
        <f t="shared" si="58"/>
        <v>#REF!</v>
      </c>
      <c r="AG371" t="e">
        <f t="shared" si="59"/>
        <v>#REF!</v>
      </c>
      <c r="AH371" s="5" t="e">
        <f t="shared" si="60"/>
        <v>#REF!</v>
      </c>
      <c r="AI371" t="e">
        <f t="shared" si="61"/>
        <v>#REF!</v>
      </c>
    </row>
    <row r="372" spans="4:35" x14ac:dyDescent="0.55000000000000004">
      <c r="D372" t="e">
        <f>IF(COUNTIF(#REF!,"&lt;&gt;NAN")=0, 0, IF(AND(OR(#REF!=#REF!,#REF!="NAN"), OR(#REF!=#REF!,#REF!="NAN"), OR(#REF!=#REF!,#REF!="NAN")),#REF!, 0))</f>
        <v>#REF!</v>
      </c>
      <c r="E372" t="e">
        <f>IF(#REF!="NAN","",IF(
   AND(OR(#REF!=#REF!,#REF!="NAN"),
     OR(#REF!=#REF!,#REF!="NAN"),
     OR(#REF!=#REF!,#REF!="NAN")),
   1,
   0))</f>
        <v>#REF!</v>
      </c>
      <c r="G372" t="e">
        <f>IF(OR(#REF!="UP",#REF!="DOWN"),1,0)</f>
        <v>#REF!</v>
      </c>
      <c r="H372" t="e">
        <f>IF(OR(#REF!="UP",#REF!="DOWN"),1,0)</f>
        <v>#REF!</v>
      </c>
      <c r="I372" t="e">
        <f>IF(OR(#REF!="UP",#REF!="DOWN"),1,0)</f>
        <v>#REF!</v>
      </c>
      <c r="M372" t="e">
        <f>IF(OR(#REF!="UP",#REF!="DOWN"),0,1)</f>
        <v>#REF!</v>
      </c>
      <c r="N372" t="e">
        <f>IF(OR(#REF!="UP",#REF!="DOWN"),VLOOKUP($C372,Configuración!$H$2:$K$11,3),1)</f>
        <v>#REF!</v>
      </c>
      <c r="O372" t="e">
        <f>IF(OR(#REF!="UP",#REF!="DOWN"),VLOOKUP($C372,Configuración!$H$2:$K$11,4),1)</f>
        <v>#REF!</v>
      </c>
      <c r="P372" t="e">
        <f t="shared" si="53"/>
        <v>#REF!</v>
      </c>
      <c r="Q372" t="e">
        <f t="shared" si="54"/>
        <v>#REF!</v>
      </c>
      <c r="R372" t="e">
        <f t="shared" si="62"/>
        <v>#REF!</v>
      </c>
      <c r="T372" t="e">
        <f>IF(R372&lt;&gt;0,Configuración!$E$2,0)</f>
        <v>#REF!</v>
      </c>
      <c r="U372" t="e">
        <f>IF(R372&lt;&gt;0,Configuración!$F$2,0)</f>
        <v>#REF!</v>
      </c>
      <c r="V372" t="e">
        <f>IF(R372&lt;&gt;0,Configuración!$G$2,0)</f>
        <v>#REF!</v>
      </c>
      <c r="W372" t="e">
        <f t="shared" si="55"/>
        <v>#REF!</v>
      </c>
      <c r="X372" t="e">
        <f t="shared" si="56"/>
        <v>#REF!</v>
      </c>
      <c r="Z372" t="e">
        <f t="shared" si="57"/>
        <v>#REF!</v>
      </c>
      <c r="AB372" t="e">
        <f t="shared" si="58"/>
        <v>#REF!</v>
      </c>
      <c r="AG372" t="e">
        <f t="shared" si="59"/>
        <v>#REF!</v>
      </c>
      <c r="AH372" s="5" t="e">
        <f t="shared" si="60"/>
        <v>#REF!</v>
      </c>
      <c r="AI372" t="e">
        <f t="shared" si="61"/>
        <v>#REF!</v>
      </c>
    </row>
    <row r="373" spans="4:35" x14ac:dyDescent="0.55000000000000004">
      <c r="D373" t="e">
        <f>IF(COUNTIF(#REF!,"&lt;&gt;NAN")=0, 0, IF(AND(OR(#REF!=#REF!,#REF!="NAN"), OR(#REF!=#REF!,#REF!="NAN"), OR(#REF!=#REF!,#REF!="NAN")),#REF!, 0))</f>
        <v>#REF!</v>
      </c>
      <c r="E373" t="e">
        <f>IF(#REF!="NAN","",IF(
   AND(OR(#REF!=#REF!,#REF!="NAN"),
     OR(#REF!=#REF!,#REF!="NAN"),
     OR(#REF!=#REF!,#REF!="NAN")),
   1,
   0))</f>
        <v>#REF!</v>
      </c>
      <c r="G373" t="e">
        <f>IF(OR(#REF!="UP",#REF!="DOWN"),1,0)</f>
        <v>#REF!</v>
      </c>
      <c r="H373" t="e">
        <f>IF(OR(#REF!="UP",#REF!="DOWN"),1,0)</f>
        <v>#REF!</v>
      </c>
      <c r="I373" t="e">
        <f>IF(OR(#REF!="UP",#REF!="DOWN"),1,0)</f>
        <v>#REF!</v>
      </c>
      <c r="M373" t="e">
        <f>IF(OR(#REF!="UP",#REF!="DOWN"),0,1)</f>
        <v>#REF!</v>
      </c>
      <c r="N373" t="e">
        <f>IF(OR(#REF!="UP",#REF!="DOWN"),VLOOKUP($C373,Configuración!$H$2:$K$11,3),1)</f>
        <v>#REF!</v>
      </c>
      <c r="O373" t="e">
        <f>IF(OR(#REF!="UP",#REF!="DOWN"),VLOOKUP($C373,Configuración!$H$2:$K$11,4),1)</f>
        <v>#REF!</v>
      </c>
      <c r="P373" t="e">
        <f t="shared" si="53"/>
        <v>#REF!</v>
      </c>
      <c r="Q373" t="e">
        <f t="shared" si="54"/>
        <v>#REF!</v>
      </c>
      <c r="R373" t="e">
        <f t="shared" si="62"/>
        <v>#REF!</v>
      </c>
      <c r="T373" t="e">
        <f>IF(R373&lt;&gt;0,Configuración!$E$2,0)</f>
        <v>#REF!</v>
      </c>
      <c r="U373" t="e">
        <f>IF(R373&lt;&gt;0,Configuración!$F$2,0)</f>
        <v>#REF!</v>
      </c>
      <c r="V373" t="e">
        <f>IF(R373&lt;&gt;0,Configuración!$G$2,0)</f>
        <v>#REF!</v>
      </c>
      <c r="W373" t="e">
        <f t="shared" si="55"/>
        <v>#REF!</v>
      </c>
      <c r="X373" t="e">
        <f t="shared" si="56"/>
        <v>#REF!</v>
      </c>
      <c r="Z373" t="e">
        <f t="shared" si="57"/>
        <v>#REF!</v>
      </c>
      <c r="AB373" t="e">
        <f t="shared" si="58"/>
        <v>#REF!</v>
      </c>
      <c r="AG373" t="e">
        <f t="shared" si="59"/>
        <v>#REF!</v>
      </c>
      <c r="AH373" s="5" t="e">
        <f t="shared" si="60"/>
        <v>#REF!</v>
      </c>
      <c r="AI373" t="e">
        <f t="shared" si="61"/>
        <v>#REF!</v>
      </c>
    </row>
    <row r="374" spans="4:35" x14ac:dyDescent="0.55000000000000004">
      <c r="D374" t="e">
        <f>IF(COUNTIF(#REF!,"&lt;&gt;NAN")=0, 0, IF(AND(OR(#REF!=#REF!,#REF!="NAN"), OR(#REF!=#REF!,#REF!="NAN"), OR(#REF!=#REF!,#REF!="NAN")),#REF!, 0))</f>
        <v>#REF!</v>
      </c>
      <c r="E374" t="e">
        <f>IF(#REF!="NAN","",IF(
   AND(OR(#REF!=#REF!,#REF!="NAN"),
     OR(#REF!=#REF!,#REF!="NAN"),
     OR(#REF!=#REF!,#REF!="NAN")),
   1,
   0))</f>
        <v>#REF!</v>
      </c>
      <c r="G374" t="e">
        <f>IF(OR(#REF!="UP",#REF!="DOWN"),1,0)</f>
        <v>#REF!</v>
      </c>
      <c r="H374" t="e">
        <f>IF(OR(#REF!="UP",#REF!="DOWN"),1,0)</f>
        <v>#REF!</v>
      </c>
      <c r="I374" t="e">
        <f>IF(OR(#REF!="UP",#REF!="DOWN"),1,0)</f>
        <v>#REF!</v>
      </c>
      <c r="M374" t="e">
        <f>IF(OR(#REF!="UP",#REF!="DOWN"),0,1)</f>
        <v>#REF!</v>
      </c>
      <c r="N374" t="e">
        <f>IF(OR(#REF!="UP",#REF!="DOWN"),VLOOKUP($C374,Configuración!$H$2:$K$11,3),1)</f>
        <v>#REF!</v>
      </c>
      <c r="O374" t="e">
        <f>IF(OR(#REF!="UP",#REF!="DOWN"),VLOOKUP($C374,Configuración!$H$2:$K$11,4),1)</f>
        <v>#REF!</v>
      </c>
      <c r="P374" t="e">
        <f t="shared" si="53"/>
        <v>#REF!</v>
      </c>
      <c r="Q374" t="e">
        <f t="shared" si="54"/>
        <v>#REF!</v>
      </c>
      <c r="R374" t="e">
        <f t="shared" si="62"/>
        <v>#REF!</v>
      </c>
      <c r="T374" t="e">
        <f>IF(R374&lt;&gt;0,Configuración!$E$2,0)</f>
        <v>#REF!</v>
      </c>
      <c r="U374" t="e">
        <f>IF(R374&lt;&gt;0,Configuración!$F$2,0)</f>
        <v>#REF!</v>
      </c>
      <c r="V374" t="e">
        <f>IF(R374&lt;&gt;0,Configuración!$G$2,0)</f>
        <v>#REF!</v>
      </c>
      <c r="W374" t="e">
        <f t="shared" si="55"/>
        <v>#REF!</v>
      </c>
      <c r="X374" t="e">
        <f t="shared" si="56"/>
        <v>#REF!</v>
      </c>
      <c r="Z374" t="e">
        <f t="shared" si="57"/>
        <v>#REF!</v>
      </c>
      <c r="AB374" t="e">
        <f t="shared" si="58"/>
        <v>#REF!</v>
      </c>
      <c r="AG374" t="e">
        <f t="shared" si="59"/>
        <v>#REF!</v>
      </c>
      <c r="AH374" s="5" t="e">
        <f t="shared" si="60"/>
        <v>#REF!</v>
      </c>
      <c r="AI374" t="e">
        <f t="shared" si="61"/>
        <v>#REF!</v>
      </c>
    </row>
    <row r="375" spans="4:35" x14ac:dyDescent="0.55000000000000004">
      <c r="D375" t="e">
        <f>IF(COUNTIF(#REF!,"&lt;&gt;NAN")=0, 0, IF(AND(OR(#REF!=#REF!,#REF!="NAN"), OR(#REF!=#REF!,#REF!="NAN"), OR(#REF!=#REF!,#REF!="NAN")),#REF!, 0))</f>
        <v>#REF!</v>
      </c>
      <c r="E375" t="e">
        <f>IF(#REF!="NAN","",IF(
   AND(OR(#REF!=#REF!,#REF!="NAN"),
     OR(#REF!=#REF!,#REF!="NAN"),
     OR(#REF!=#REF!,#REF!="NAN")),
   1,
   0))</f>
        <v>#REF!</v>
      </c>
      <c r="G375" t="e">
        <f>IF(OR(#REF!="UP",#REF!="DOWN"),1,0)</f>
        <v>#REF!</v>
      </c>
      <c r="H375" t="e">
        <f>IF(OR(#REF!="UP",#REF!="DOWN"),1,0)</f>
        <v>#REF!</v>
      </c>
      <c r="I375" t="e">
        <f>IF(OR(#REF!="UP",#REF!="DOWN"),1,0)</f>
        <v>#REF!</v>
      </c>
      <c r="M375" t="e">
        <f>IF(OR(#REF!="UP",#REF!="DOWN"),0,1)</f>
        <v>#REF!</v>
      </c>
      <c r="N375" t="e">
        <f>IF(OR(#REF!="UP",#REF!="DOWN"),VLOOKUP($C375,Configuración!$H$2:$K$11,3),1)</f>
        <v>#REF!</v>
      </c>
      <c r="O375" t="e">
        <f>IF(OR(#REF!="UP",#REF!="DOWN"),VLOOKUP($C375,Configuración!$H$2:$K$11,4),1)</f>
        <v>#REF!</v>
      </c>
      <c r="P375" t="e">
        <f t="shared" si="53"/>
        <v>#REF!</v>
      </c>
      <c r="Q375" t="e">
        <f t="shared" si="54"/>
        <v>#REF!</v>
      </c>
      <c r="R375" t="e">
        <f t="shared" si="62"/>
        <v>#REF!</v>
      </c>
      <c r="T375" t="e">
        <f>IF(R375&lt;&gt;0,Configuración!$E$2,0)</f>
        <v>#REF!</v>
      </c>
      <c r="U375" t="e">
        <f>IF(R375&lt;&gt;0,Configuración!$F$2,0)</f>
        <v>#REF!</v>
      </c>
      <c r="V375" t="e">
        <f>IF(R375&lt;&gt;0,Configuración!$G$2,0)</f>
        <v>#REF!</v>
      </c>
      <c r="W375" t="e">
        <f t="shared" si="55"/>
        <v>#REF!</v>
      </c>
      <c r="X375" t="e">
        <f t="shared" si="56"/>
        <v>#REF!</v>
      </c>
      <c r="Z375" t="e">
        <f t="shared" si="57"/>
        <v>#REF!</v>
      </c>
      <c r="AB375" t="e">
        <f t="shared" si="58"/>
        <v>#REF!</v>
      </c>
      <c r="AG375" t="e">
        <f t="shared" si="59"/>
        <v>#REF!</v>
      </c>
      <c r="AH375" s="5" t="e">
        <f t="shared" si="60"/>
        <v>#REF!</v>
      </c>
      <c r="AI375" t="e">
        <f t="shared" si="61"/>
        <v>#REF!</v>
      </c>
    </row>
    <row r="376" spans="4:35" x14ac:dyDescent="0.55000000000000004">
      <c r="D376" t="e">
        <f>IF(COUNTIF(#REF!,"&lt;&gt;NAN")=0, 0, IF(AND(OR(#REF!=#REF!,#REF!="NAN"), OR(#REF!=#REF!,#REF!="NAN"), OR(#REF!=#REF!,#REF!="NAN")),#REF!, 0))</f>
        <v>#REF!</v>
      </c>
      <c r="E376" t="e">
        <f>IF(#REF!="NAN","",IF(
   AND(OR(#REF!=#REF!,#REF!="NAN"),
     OR(#REF!=#REF!,#REF!="NAN"),
     OR(#REF!=#REF!,#REF!="NAN")),
   1,
   0))</f>
        <v>#REF!</v>
      </c>
      <c r="G376" t="e">
        <f>IF(OR(#REF!="UP",#REF!="DOWN"),1,0)</f>
        <v>#REF!</v>
      </c>
      <c r="H376" t="e">
        <f>IF(OR(#REF!="UP",#REF!="DOWN"),1,0)</f>
        <v>#REF!</v>
      </c>
      <c r="I376" t="e">
        <f>IF(OR(#REF!="UP",#REF!="DOWN"),1,0)</f>
        <v>#REF!</v>
      </c>
      <c r="M376" t="e">
        <f>IF(OR(#REF!="UP",#REF!="DOWN"),0,1)</f>
        <v>#REF!</v>
      </c>
      <c r="N376" t="e">
        <f>IF(OR(#REF!="UP",#REF!="DOWN"),VLOOKUP($C376,Configuración!$H$2:$K$11,3),1)</f>
        <v>#REF!</v>
      </c>
      <c r="O376" t="e">
        <f>IF(OR(#REF!="UP",#REF!="DOWN"),VLOOKUP($C376,Configuración!$H$2:$K$11,4),1)</f>
        <v>#REF!</v>
      </c>
      <c r="P376" t="e">
        <f t="shared" si="53"/>
        <v>#REF!</v>
      </c>
      <c r="Q376" t="e">
        <f t="shared" si="54"/>
        <v>#REF!</v>
      </c>
      <c r="R376" t="e">
        <f t="shared" si="62"/>
        <v>#REF!</v>
      </c>
      <c r="T376" t="e">
        <f>IF(R376&lt;&gt;0,Configuración!$E$2,0)</f>
        <v>#REF!</v>
      </c>
      <c r="U376" t="e">
        <f>IF(R376&lt;&gt;0,Configuración!$F$2,0)</f>
        <v>#REF!</v>
      </c>
      <c r="V376" t="e">
        <f>IF(R376&lt;&gt;0,Configuración!$G$2,0)</f>
        <v>#REF!</v>
      </c>
      <c r="W376" t="e">
        <f t="shared" si="55"/>
        <v>#REF!</v>
      </c>
      <c r="X376" t="e">
        <f t="shared" si="56"/>
        <v>#REF!</v>
      </c>
      <c r="Z376" t="e">
        <f t="shared" si="57"/>
        <v>#REF!</v>
      </c>
      <c r="AB376" t="e">
        <f t="shared" si="58"/>
        <v>#REF!</v>
      </c>
      <c r="AG376" t="e">
        <f t="shared" si="59"/>
        <v>#REF!</v>
      </c>
      <c r="AH376" s="5" t="e">
        <f t="shared" si="60"/>
        <v>#REF!</v>
      </c>
      <c r="AI376" t="e">
        <f t="shared" si="61"/>
        <v>#REF!</v>
      </c>
    </row>
    <row r="377" spans="4:35" x14ac:dyDescent="0.55000000000000004">
      <c r="D377" t="e">
        <f>IF(COUNTIF(#REF!,"&lt;&gt;NAN")=0, 0, IF(AND(OR(#REF!=#REF!,#REF!="NAN"), OR(#REF!=#REF!,#REF!="NAN"), OR(#REF!=#REF!,#REF!="NAN")),#REF!, 0))</f>
        <v>#REF!</v>
      </c>
      <c r="E377" t="e">
        <f>IF(#REF!="NAN","",IF(
   AND(OR(#REF!=#REF!,#REF!="NAN"),
     OR(#REF!=#REF!,#REF!="NAN"),
     OR(#REF!=#REF!,#REF!="NAN")),
   1,
   0))</f>
        <v>#REF!</v>
      </c>
      <c r="G377" t="e">
        <f>IF(OR(#REF!="UP",#REF!="DOWN"),1,0)</f>
        <v>#REF!</v>
      </c>
      <c r="H377" t="e">
        <f>IF(OR(#REF!="UP",#REF!="DOWN"),1,0)</f>
        <v>#REF!</v>
      </c>
      <c r="I377" t="e">
        <f>IF(OR(#REF!="UP",#REF!="DOWN"),1,0)</f>
        <v>#REF!</v>
      </c>
      <c r="M377" t="e">
        <f>IF(OR(#REF!="UP",#REF!="DOWN"),0,1)</f>
        <v>#REF!</v>
      </c>
      <c r="N377" t="e">
        <f>IF(OR(#REF!="UP",#REF!="DOWN"),VLOOKUP($C377,Configuración!$H$2:$K$11,3),1)</f>
        <v>#REF!</v>
      </c>
      <c r="O377" t="e">
        <f>IF(OR(#REF!="UP",#REF!="DOWN"),VLOOKUP($C377,Configuración!$H$2:$K$11,4),1)</f>
        <v>#REF!</v>
      </c>
      <c r="P377" t="e">
        <f t="shared" si="53"/>
        <v>#REF!</v>
      </c>
      <c r="Q377" t="e">
        <f t="shared" si="54"/>
        <v>#REF!</v>
      </c>
      <c r="R377" t="e">
        <f t="shared" si="62"/>
        <v>#REF!</v>
      </c>
      <c r="T377" t="e">
        <f>IF(R377&lt;&gt;0,Configuración!$E$2,0)</f>
        <v>#REF!</v>
      </c>
      <c r="U377" t="e">
        <f>IF(R377&lt;&gt;0,Configuración!$F$2,0)</f>
        <v>#REF!</v>
      </c>
      <c r="V377" t="e">
        <f>IF(R377&lt;&gt;0,Configuración!$G$2,0)</f>
        <v>#REF!</v>
      </c>
      <c r="W377" t="e">
        <f t="shared" si="55"/>
        <v>#REF!</v>
      </c>
      <c r="X377" t="e">
        <f t="shared" si="56"/>
        <v>#REF!</v>
      </c>
      <c r="Z377" t="e">
        <f t="shared" si="57"/>
        <v>#REF!</v>
      </c>
      <c r="AB377" t="e">
        <f t="shared" si="58"/>
        <v>#REF!</v>
      </c>
      <c r="AG377" t="e">
        <f t="shared" si="59"/>
        <v>#REF!</v>
      </c>
      <c r="AH377" s="5" t="e">
        <f t="shared" si="60"/>
        <v>#REF!</v>
      </c>
      <c r="AI377" t="e">
        <f t="shared" si="61"/>
        <v>#REF!</v>
      </c>
    </row>
    <row r="378" spans="4:35" x14ac:dyDescent="0.55000000000000004">
      <c r="D378" t="e">
        <f>IF(COUNTIF(#REF!,"&lt;&gt;NAN")=0, 0, IF(AND(OR(#REF!=#REF!,#REF!="NAN"), OR(#REF!=#REF!,#REF!="NAN"), OR(#REF!=#REF!,#REF!="NAN")),#REF!, 0))</f>
        <v>#REF!</v>
      </c>
      <c r="E378" t="e">
        <f>IF(#REF!="NAN","",IF(
   AND(OR(#REF!=#REF!,#REF!="NAN"),
     OR(#REF!=#REF!,#REF!="NAN"),
     OR(#REF!=#REF!,#REF!="NAN")),
   1,
   0))</f>
        <v>#REF!</v>
      </c>
      <c r="G378" t="e">
        <f>IF(OR(#REF!="UP",#REF!="DOWN"),1,0)</f>
        <v>#REF!</v>
      </c>
      <c r="H378" t="e">
        <f>IF(OR(#REF!="UP",#REF!="DOWN"),1,0)</f>
        <v>#REF!</v>
      </c>
      <c r="I378" t="e">
        <f>IF(OR(#REF!="UP",#REF!="DOWN"),1,0)</f>
        <v>#REF!</v>
      </c>
      <c r="M378" t="e">
        <f>IF(OR(#REF!="UP",#REF!="DOWN"),0,1)</f>
        <v>#REF!</v>
      </c>
      <c r="N378" t="e">
        <f>IF(OR(#REF!="UP",#REF!="DOWN"),VLOOKUP($C378,Configuración!$H$2:$K$11,3),1)</f>
        <v>#REF!</v>
      </c>
      <c r="O378" t="e">
        <f>IF(OR(#REF!="UP",#REF!="DOWN"),VLOOKUP($C378,Configuración!$H$2:$K$11,4),1)</f>
        <v>#REF!</v>
      </c>
      <c r="P378" t="e">
        <f t="shared" si="53"/>
        <v>#REF!</v>
      </c>
      <c r="Q378" t="e">
        <f t="shared" si="54"/>
        <v>#REF!</v>
      </c>
      <c r="R378" t="e">
        <f t="shared" si="62"/>
        <v>#REF!</v>
      </c>
      <c r="T378" t="e">
        <f>IF(R378&lt;&gt;0,Configuración!$E$2,0)</f>
        <v>#REF!</v>
      </c>
      <c r="U378" t="e">
        <f>IF(R378&lt;&gt;0,Configuración!$F$2,0)</f>
        <v>#REF!</v>
      </c>
      <c r="V378" t="e">
        <f>IF(R378&lt;&gt;0,Configuración!$G$2,0)</f>
        <v>#REF!</v>
      </c>
      <c r="W378" t="e">
        <f t="shared" si="55"/>
        <v>#REF!</v>
      </c>
      <c r="X378" t="e">
        <f t="shared" si="56"/>
        <v>#REF!</v>
      </c>
      <c r="Z378" t="e">
        <f t="shared" si="57"/>
        <v>#REF!</v>
      </c>
      <c r="AB378" t="e">
        <f t="shared" si="58"/>
        <v>#REF!</v>
      </c>
      <c r="AG378" t="e">
        <f t="shared" si="59"/>
        <v>#REF!</v>
      </c>
      <c r="AH378" s="5" t="e">
        <f t="shared" si="60"/>
        <v>#REF!</v>
      </c>
      <c r="AI378" t="e">
        <f t="shared" si="61"/>
        <v>#REF!</v>
      </c>
    </row>
    <row r="379" spans="4:35" x14ac:dyDescent="0.55000000000000004">
      <c r="D379" t="e">
        <f>IF(COUNTIF(#REF!,"&lt;&gt;NAN")=0, 0, IF(AND(OR(#REF!=#REF!,#REF!="NAN"), OR(#REF!=#REF!,#REF!="NAN"), OR(#REF!=#REF!,#REF!="NAN")),#REF!, 0))</f>
        <v>#REF!</v>
      </c>
      <c r="E379" t="e">
        <f>IF(#REF!="NAN","",IF(
   AND(OR(#REF!=#REF!,#REF!="NAN"),
     OR(#REF!=#REF!,#REF!="NAN"),
     OR(#REF!=#REF!,#REF!="NAN")),
   1,
   0))</f>
        <v>#REF!</v>
      </c>
      <c r="G379" t="e">
        <f>IF(OR(#REF!="UP",#REF!="DOWN"),1,0)</f>
        <v>#REF!</v>
      </c>
      <c r="H379" t="e">
        <f>IF(OR(#REF!="UP",#REF!="DOWN"),1,0)</f>
        <v>#REF!</v>
      </c>
      <c r="I379" t="e">
        <f>IF(OR(#REF!="UP",#REF!="DOWN"),1,0)</f>
        <v>#REF!</v>
      </c>
      <c r="M379" t="e">
        <f>IF(OR(#REF!="UP",#REF!="DOWN"),0,1)</f>
        <v>#REF!</v>
      </c>
      <c r="N379" t="e">
        <f>IF(OR(#REF!="UP",#REF!="DOWN"),VLOOKUP($C379,Configuración!$H$2:$K$11,3),1)</f>
        <v>#REF!</v>
      </c>
      <c r="O379" t="e">
        <f>IF(OR(#REF!="UP",#REF!="DOWN"),VLOOKUP($C379,Configuración!$H$2:$K$11,4),1)</f>
        <v>#REF!</v>
      </c>
      <c r="P379" t="e">
        <f t="shared" si="53"/>
        <v>#REF!</v>
      </c>
      <c r="Q379" t="e">
        <f t="shared" si="54"/>
        <v>#REF!</v>
      </c>
      <c r="R379" t="e">
        <f t="shared" si="62"/>
        <v>#REF!</v>
      </c>
      <c r="T379" t="e">
        <f>IF(R379&lt;&gt;0,Configuración!$E$2,0)</f>
        <v>#REF!</v>
      </c>
      <c r="U379" t="e">
        <f>IF(R379&lt;&gt;0,Configuración!$F$2,0)</f>
        <v>#REF!</v>
      </c>
      <c r="V379" t="e">
        <f>IF(R379&lt;&gt;0,Configuración!$G$2,0)</f>
        <v>#REF!</v>
      </c>
      <c r="W379" t="e">
        <f t="shared" si="55"/>
        <v>#REF!</v>
      </c>
      <c r="X379" t="e">
        <f t="shared" si="56"/>
        <v>#REF!</v>
      </c>
      <c r="Z379" t="e">
        <f t="shared" si="57"/>
        <v>#REF!</v>
      </c>
      <c r="AB379" t="e">
        <f t="shared" si="58"/>
        <v>#REF!</v>
      </c>
      <c r="AG379" t="e">
        <f t="shared" si="59"/>
        <v>#REF!</v>
      </c>
      <c r="AH379" s="5" t="e">
        <f t="shared" si="60"/>
        <v>#REF!</v>
      </c>
      <c r="AI379" t="e">
        <f t="shared" si="61"/>
        <v>#REF!</v>
      </c>
    </row>
    <row r="380" spans="4:35" x14ac:dyDescent="0.55000000000000004">
      <c r="D380" t="e">
        <f>IF(COUNTIF(#REF!,"&lt;&gt;NAN")=0, 0, IF(AND(OR(#REF!=#REF!,#REF!="NAN"), OR(#REF!=#REF!,#REF!="NAN"), OR(#REF!=#REF!,#REF!="NAN")),#REF!, 0))</f>
        <v>#REF!</v>
      </c>
      <c r="E380" t="e">
        <f>IF(#REF!="NAN","",IF(
   AND(OR(#REF!=#REF!,#REF!="NAN"),
     OR(#REF!=#REF!,#REF!="NAN"),
     OR(#REF!=#REF!,#REF!="NAN")),
   1,
   0))</f>
        <v>#REF!</v>
      </c>
      <c r="G380" t="e">
        <f>IF(OR(#REF!="UP",#REF!="DOWN"),1,0)</f>
        <v>#REF!</v>
      </c>
      <c r="H380" t="e">
        <f>IF(OR(#REF!="UP",#REF!="DOWN"),1,0)</f>
        <v>#REF!</v>
      </c>
      <c r="I380" t="e">
        <f>IF(OR(#REF!="UP",#REF!="DOWN"),1,0)</f>
        <v>#REF!</v>
      </c>
      <c r="M380" t="e">
        <f>IF(OR(#REF!="UP",#REF!="DOWN"),0,1)</f>
        <v>#REF!</v>
      </c>
      <c r="N380" t="e">
        <f>IF(OR(#REF!="UP",#REF!="DOWN"),VLOOKUP($C380,Configuración!$H$2:$K$11,3),1)</f>
        <v>#REF!</v>
      </c>
      <c r="O380" t="e">
        <f>IF(OR(#REF!="UP",#REF!="DOWN"),VLOOKUP($C380,Configuración!$H$2:$K$11,4),1)</f>
        <v>#REF!</v>
      </c>
      <c r="P380" t="e">
        <f t="shared" si="53"/>
        <v>#REF!</v>
      </c>
      <c r="Q380" t="e">
        <f t="shared" si="54"/>
        <v>#REF!</v>
      </c>
      <c r="R380" t="e">
        <f t="shared" si="62"/>
        <v>#REF!</v>
      </c>
      <c r="T380" t="e">
        <f>IF(R380&lt;&gt;0,Configuración!$E$2,0)</f>
        <v>#REF!</v>
      </c>
      <c r="U380" t="e">
        <f>IF(R380&lt;&gt;0,Configuración!$F$2,0)</f>
        <v>#REF!</v>
      </c>
      <c r="V380" t="e">
        <f>IF(R380&lt;&gt;0,Configuración!$G$2,0)</f>
        <v>#REF!</v>
      </c>
      <c r="W380" t="e">
        <f t="shared" si="55"/>
        <v>#REF!</v>
      </c>
      <c r="X380" t="e">
        <f t="shared" si="56"/>
        <v>#REF!</v>
      </c>
      <c r="Z380" t="e">
        <f t="shared" si="57"/>
        <v>#REF!</v>
      </c>
      <c r="AB380" t="e">
        <f t="shared" si="58"/>
        <v>#REF!</v>
      </c>
      <c r="AG380" t="e">
        <f t="shared" si="59"/>
        <v>#REF!</v>
      </c>
      <c r="AH380" s="5" t="e">
        <f t="shared" si="60"/>
        <v>#REF!</v>
      </c>
      <c r="AI380" t="e">
        <f t="shared" si="61"/>
        <v>#REF!</v>
      </c>
    </row>
    <row r="381" spans="4:35" x14ac:dyDescent="0.55000000000000004">
      <c r="D381" t="e">
        <f>IF(COUNTIF(#REF!,"&lt;&gt;NAN")=0, 0, IF(AND(OR(#REF!=#REF!,#REF!="NAN"), OR(#REF!=#REF!,#REF!="NAN"), OR(#REF!=#REF!,#REF!="NAN")),#REF!, 0))</f>
        <v>#REF!</v>
      </c>
      <c r="E381" t="e">
        <f>IF(#REF!="NAN","",IF(
   AND(OR(#REF!=#REF!,#REF!="NAN"),
     OR(#REF!=#REF!,#REF!="NAN"),
     OR(#REF!=#REF!,#REF!="NAN")),
   1,
   0))</f>
        <v>#REF!</v>
      </c>
      <c r="G381" t="e">
        <f>IF(OR(#REF!="UP",#REF!="DOWN"),1,0)</f>
        <v>#REF!</v>
      </c>
      <c r="H381" t="e">
        <f>IF(OR(#REF!="UP",#REF!="DOWN"),1,0)</f>
        <v>#REF!</v>
      </c>
      <c r="I381" t="e">
        <f>IF(OR(#REF!="UP",#REF!="DOWN"),1,0)</f>
        <v>#REF!</v>
      </c>
      <c r="M381" t="e">
        <f>IF(OR(#REF!="UP",#REF!="DOWN"),0,1)</f>
        <v>#REF!</v>
      </c>
      <c r="N381" t="e">
        <f>IF(OR(#REF!="UP",#REF!="DOWN"),VLOOKUP($C381,Configuración!$H$2:$K$11,3),1)</f>
        <v>#REF!</v>
      </c>
      <c r="O381" t="e">
        <f>IF(OR(#REF!="UP",#REF!="DOWN"),VLOOKUP($C381,Configuración!$H$2:$K$11,4),1)</f>
        <v>#REF!</v>
      </c>
      <c r="P381" t="e">
        <f t="shared" si="53"/>
        <v>#REF!</v>
      </c>
      <c r="Q381" t="e">
        <f t="shared" si="54"/>
        <v>#REF!</v>
      </c>
      <c r="R381" t="e">
        <f t="shared" si="62"/>
        <v>#REF!</v>
      </c>
      <c r="T381" t="e">
        <f>IF(R381&lt;&gt;0,Configuración!$E$2,0)</f>
        <v>#REF!</v>
      </c>
      <c r="U381" t="e">
        <f>IF(R381&lt;&gt;0,Configuración!$F$2,0)</f>
        <v>#REF!</v>
      </c>
      <c r="V381" t="e">
        <f>IF(R381&lt;&gt;0,Configuración!$G$2,0)</f>
        <v>#REF!</v>
      </c>
      <c r="W381" t="e">
        <f t="shared" si="55"/>
        <v>#REF!</v>
      </c>
      <c r="X381" t="e">
        <f t="shared" si="56"/>
        <v>#REF!</v>
      </c>
      <c r="Z381" t="e">
        <f t="shared" si="57"/>
        <v>#REF!</v>
      </c>
      <c r="AB381" t="e">
        <f t="shared" si="58"/>
        <v>#REF!</v>
      </c>
      <c r="AG381" t="e">
        <f t="shared" si="59"/>
        <v>#REF!</v>
      </c>
      <c r="AH381" s="5" t="e">
        <f t="shared" si="60"/>
        <v>#REF!</v>
      </c>
      <c r="AI381" t="e">
        <f t="shared" si="61"/>
        <v>#REF!</v>
      </c>
    </row>
    <row r="382" spans="4:35" x14ac:dyDescent="0.55000000000000004">
      <c r="D382" t="e">
        <f>IF(COUNTIF(#REF!,"&lt;&gt;NAN")=0, 0, IF(AND(OR(#REF!=#REF!,#REF!="NAN"), OR(#REF!=#REF!,#REF!="NAN"), OR(#REF!=#REF!,#REF!="NAN")),#REF!, 0))</f>
        <v>#REF!</v>
      </c>
      <c r="E382" t="e">
        <f>IF(#REF!="NAN","",IF(
   AND(OR(#REF!=#REF!,#REF!="NAN"),
     OR(#REF!=#REF!,#REF!="NAN"),
     OR(#REF!=#REF!,#REF!="NAN")),
   1,
   0))</f>
        <v>#REF!</v>
      </c>
      <c r="G382" t="e">
        <f>IF(OR(#REF!="UP",#REF!="DOWN"),1,0)</f>
        <v>#REF!</v>
      </c>
      <c r="H382" t="e">
        <f>IF(OR(#REF!="UP",#REF!="DOWN"),1,0)</f>
        <v>#REF!</v>
      </c>
      <c r="I382" t="e">
        <f>IF(OR(#REF!="UP",#REF!="DOWN"),1,0)</f>
        <v>#REF!</v>
      </c>
      <c r="M382" t="e">
        <f>IF(OR(#REF!="UP",#REF!="DOWN"),0,1)</f>
        <v>#REF!</v>
      </c>
      <c r="N382" t="e">
        <f>IF(OR(#REF!="UP",#REF!="DOWN"),VLOOKUP($C382,Configuración!$H$2:$K$11,3),1)</f>
        <v>#REF!</v>
      </c>
      <c r="O382" t="e">
        <f>IF(OR(#REF!="UP",#REF!="DOWN"),VLOOKUP($C382,Configuración!$H$2:$K$11,4),1)</f>
        <v>#REF!</v>
      </c>
      <c r="P382" t="e">
        <f t="shared" si="53"/>
        <v>#REF!</v>
      </c>
      <c r="Q382" t="e">
        <f t="shared" si="54"/>
        <v>#REF!</v>
      </c>
      <c r="R382" t="e">
        <f t="shared" si="62"/>
        <v>#REF!</v>
      </c>
      <c r="T382" t="e">
        <f>IF(R382&lt;&gt;0,Configuración!$E$2,0)</f>
        <v>#REF!</v>
      </c>
      <c r="U382" t="e">
        <f>IF(R382&lt;&gt;0,Configuración!$F$2,0)</f>
        <v>#REF!</v>
      </c>
      <c r="V382" t="e">
        <f>IF(R382&lt;&gt;0,Configuración!$G$2,0)</f>
        <v>#REF!</v>
      </c>
      <c r="W382" t="e">
        <f t="shared" si="55"/>
        <v>#REF!</v>
      </c>
      <c r="X382" t="e">
        <f t="shared" si="56"/>
        <v>#REF!</v>
      </c>
      <c r="Z382" t="e">
        <f t="shared" si="57"/>
        <v>#REF!</v>
      </c>
      <c r="AB382" t="e">
        <f t="shared" si="58"/>
        <v>#REF!</v>
      </c>
      <c r="AG382" t="e">
        <f t="shared" si="59"/>
        <v>#REF!</v>
      </c>
      <c r="AH382" s="5" t="e">
        <f t="shared" si="60"/>
        <v>#REF!</v>
      </c>
      <c r="AI382" t="e">
        <f t="shared" si="61"/>
        <v>#REF!</v>
      </c>
    </row>
    <row r="383" spans="4:35" x14ac:dyDescent="0.55000000000000004">
      <c r="D383" t="e">
        <f>IF(COUNTIF(#REF!,"&lt;&gt;NAN")=0, 0, IF(AND(OR(#REF!=#REF!,#REF!="NAN"), OR(#REF!=#REF!,#REF!="NAN"), OR(#REF!=#REF!,#REF!="NAN")),#REF!, 0))</f>
        <v>#REF!</v>
      </c>
      <c r="E383" t="e">
        <f>IF(#REF!="NAN","",IF(
   AND(OR(#REF!=#REF!,#REF!="NAN"),
     OR(#REF!=#REF!,#REF!="NAN"),
     OR(#REF!=#REF!,#REF!="NAN")),
   1,
   0))</f>
        <v>#REF!</v>
      </c>
      <c r="G383" t="e">
        <f>IF(OR(#REF!="UP",#REF!="DOWN"),1,0)</f>
        <v>#REF!</v>
      </c>
      <c r="H383" t="e">
        <f>IF(OR(#REF!="UP",#REF!="DOWN"),1,0)</f>
        <v>#REF!</v>
      </c>
      <c r="I383" t="e">
        <f>IF(OR(#REF!="UP",#REF!="DOWN"),1,0)</f>
        <v>#REF!</v>
      </c>
      <c r="M383" t="e">
        <f>IF(OR(#REF!="UP",#REF!="DOWN"),0,1)</f>
        <v>#REF!</v>
      </c>
      <c r="N383" t="e">
        <f>IF(OR(#REF!="UP",#REF!="DOWN"),VLOOKUP($C383,Configuración!$H$2:$K$11,3),1)</f>
        <v>#REF!</v>
      </c>
      <c r="O383" t="e">
        <f>IF(OR(#REF!="UP",#REF!="DOWN"),VLOOKUP($C383,Configuración!$H$2:$K$11,4),1)</f>
        <v>#REF!</v>
      </c>
      <c r="P383" t="e">
        <f t="shared" si="53"/>
        <v>#REF!</v>
      </c>
      <c r="Q383" t="e">
        <f t="shared" si="54"/>
        <v>#REF!</v>
      </c>
      <c r="R383" t="e">
        <f t="shared" si="62"/>
        <v>#REF!</v>
      </c>
      <c r="T383" t="e">
        <f>IF(R383&lt;&gt;0,Configuración!$E$2,0)</f>
        <v>#REF!</v>
      </c>
      <c r="U383" t="e">
        <f>IF(R383&lt;&gt;0,Configuración!$F$2,0)</f>
        <v>#REF!</v>
      </c>
      <c r="V383" t="e">
        <f>IF(R383&lt;&gt;0,Configuración!$G$2,0)</f>
        <v>#REF!</v>
      </c>
      <c r="W383" t="e">
        <f t="shared" si="55"/>
        <v>#REF!</v>
      </c>
      <c r="X383" t="e">
        <f t="shared" si="56"/>
        <v>#REF!</v>
      </c>
      <c r="Z383" t="e">
        <f t="shared" si="57"/>
        <v>#REF!</v>
      </c>
      <c r="AB383" t="e">
        <f t="shared" si="58"/>
        <v>#REF!</v>
      </c>
      <c r="AG383" t="e">
        <f t="shared" si="59"/>
        <v>#REF!</v>
      </c>
      <c r="AH383" s="5" t="e">
        <f t="shared" si="60"/>
        <v>#REF!</v>
      </c>
      <c r="AI383" t="e">
        <f t="shared" si="61"/>
        <v>#REF!</v>
      </c>
    </row>
    <row r="384" spans="4:35" x14ac:dyDescent="0.55000000000000004">
      <c r="D384" t="e">
        <f>IF(COUNTIF(#REF!,"&lt;&gt;NAN")=0, 0, IF(AND(OR(#REF!=#REF!,#REF!="NAN"), OR(#REF!=#REF!,#REF!="NAN"), OR(#REF!=#REF!,#REF!="NAN")),#REF!, 0))</f>
        <v>#REF!</v>
      </c>
      <c r="E384" t="e">
        <f>IF(#REF!="NAN","",IF(
   AND(OR(#REF!=#REF!,#REF!="NAN"),
     OR(#REF!=#REF!,#REF!="NAN"),
     OR(#REF!=#REF!,#REF!="NAN")),
   1,
   0))</f>
        <v>#REF!</v>
      </c>
      <c r="G384" t="e">
        <f>IF(OR(#REF!="UP",#REF!="DOWN"),1,0)</f>
        <v>#REF!</v>
      </c>
      <c r="H384" t="e">
        <f>IF(OR(#REF!="UP",#REF!="DOWN"),1,0)</f>
        <v>#REF!</v>
      </c>
      <c r="I384" t="e">
        <f>IF(OR(#REF!="UP",#REF!="DOWN"),1,0)</f>
        <v>#REF!</v>
      </c>
      <c r="M384" t="e">
        <f>IF(OR(#REF!="UP",#REF!="DOWN"),0,1)</f>
        <v>#REF!</v>
      </c>
      <c r="N384" t="e">
        <f>IF(OR(#REF!="UP",#REF!="DOWN"),VLOOKUP($C384,Configuración!$H$2:$K$11,3),1)</f>
        <v>#REF!</v>
      </c>
      <c r="O384" t="e">
        <f>IF(OR(#REF!="UP",#REF!="DOWN"),VLOOKUP($C384,Configuración!$H$2:$K$11,4),1)</f>
        <v>#REF!</v>
      </c>
      <c r="P384" t="e">
        <f t="shared" si="53"/>
        <v>#REF!</v>
      </c>
      <c r="Q384" t="e">
        <f t="shared" si="54"/>
        <v>#REF!</v>
      </c>
      <c r="R384" t="e">
        <f t="shared" si="62"/>
        <v>#REF!</v>
      </c>
      <c r="T384" t="e">
        <f>IF(R384&lt;&gt;0,Configuración!$E$2,0)</f>
        <v>#REF!</v>
      </c>
      <c r="U384" t="e">
        <f>IF(R384&lt;&gt;0,Configuración!$F$2,0)</f>
        <v>#REF!</v>
      </c>
      <c r="V384" t="e">
        <f>IF(R384&lt;&gt;0,Configuración!$G$2,0)</f>
        <v>#REF!</v>
      </c>
      <c r="W384" t="e">
        <f t="shared" si="55"/>
        <v>#REF!</v>
      </c>
      <c r="X384" t="e">
        <f t="shared" si="56"/>
        <v>#REF!</v>
      </c>
      <c r="Z384" t="e">
        <f t="shared" si="57"/>
        <v>#REF!</v>
      </c>
      <c r="AB384" t="e">
        <f t="shared" si="58"/>
        <v>#REF!</v>
      </c>
      <c r="AG384" t="e">
        <f t="shared" si="59"/>
        <v>#REF!</v>
      </c>
      <c r="AH384" s="5" t="e">
        <f t="shared" si="60"/>
        <v>#REF!</v>
      </c>
      <c r="AI384" t="e">
        <f t="shared" si="61"/>
        <v>#REF!</v>
      </c>
    </row>
    <row r="385" spans="4:35" x14ac:dyDescent="0.55000000000000004">
      <c r="D385" t="e">
        <f>IF(COUNTIF(#REF!,"&lt;&gt;NAN")=0, 0, IF(AND(OR(#REF!=#REF!,#REF!="NAN"), OR(#REF!=#REF!,#REF!="NAN"), OR(#REF!=#REF!,#REF!="NAN")),#REF!, 0))</f>
        <v>#REF!</v>
      </c>
      <c r="E385" t="e">
        <f>IF(#REF!="NAN","",IF(
   AND(OR(#REF!=#REF!,#REF!="NAN"),
     OR(#REF!=#REF!,#REF!="NAN"),
     OR(#REF!=#REF!,#REF!="NAN")),
   1,
   0))</f>
        <v>#REF!</v>
      </c>
      <c r="G385" t="e">
        <f>IF(OR(#REF!="UP",#REF!="DOWN"),1,0)</f>
        <v>#REF!</v>
      </c>
      <c r="H385" t="e">
        <f>IF(OR(#REF!="UP",#REF!="DOWN"),1,0)</f>
        <v>#REF!</v>
      </c>
      <c r="I385" t="e">
        <f>IF(OR(#REF!="UP",#REF!="DOWN"),1,0)</f>
        <v>#REF!</v>
      </c>
      <c r="M385" t="e">
        <f>IF(OR(#REF!="UP",#REF!="DOWN"),0,1)</f>
        <v>#REF!</v>
      </c>
      <c r="N385" t="e">
        <f>IF(OR(#REF!="UP",#REF!="DOWN"),VLOOKUP($C385,Configuración!$H$2:$K$11,3),1)</f>
        <v>#REF!</v>
      </c>
      <c r="O385" t="e">
        <f>IF(OR(#REF!="UP",#REF!="DOWN"),VLOOKUP($C385,Configuración!$H$2:$K$11,4),1)</f>
        <v>#REF!</v>
      </c>
      <c r="P385" t="e">
        <f t="shared" si="53"/>
        <v>#REF!</v>
      </c>
      <c r="Q385" t="e">
        <f t="shared" si="54"/>
        <v>#REF!</v>
      </c>
      <c r="R385" t="e">
        <f t="shared" si="62"/>
        <v>#REF!</v>
      </c>
      <c r="T385" t="e">
        <f>IF(R385&lt;&gt;0,Configuración!$E$2,0)</f>
        <v>#REF!</v>
      </c>
      <c r="U385" t="e">
        <f>IF(R385&lt;&gt;0,Configuración!$F$2,0)</f>
        <v>#REF!</v>
      </c>
      <c r="V385" t="e">
        <f>IF(R385&lt;&gt;0,Configuración!$G$2,0)</f>
        <v>#REF!</v>
      </c>
      <c r="W385" t="e">
        <f t="shared" si="55"/>
        <v>#REF!</v>
      </c>
      <c r="X385" t="e">
        <f t="shared" si="56"/>
        <v>#REF!</v>
      </c>
      <c r="Z385" t="e">
        <f t="shared" si="57"/>
        <v>#REF!</v>
      </c>
      <c r="AB385" t="e">
        <f t="shared" si="58"/>
        <v>#REF!</v>
      </c>
      <c r="AG385" t="e">
        <f t="shared" si="59"/>
        <v>#REF!</v>
      </c>
      <c r="AH385" s="5" t="e">
        <f t="shared" si="60"/>
        <v>#REF!</v>
      </c>
      <c r="AI385" t="e">
        <f t="shared" si="61"/>
        <v>#REF!</v>
      </c>
    </row>
    <row r="386" spans="4:35" x14ac:dyDescent="0.55000000000000004">
      <c r="D386" t="e">
        <f>IF(COUNTIF(#REF!,"&lt;&gt;NAN")=0, 0, IF(AND(OR(#REF!=#REF!,#REF!="NAN"), OR(#REF!=#REF!,#REF!="NAN"), OR(#REF!=#REF!,#REF!="NAN")),#REF!, 0))</f>
        <v>#REF!</v>
      </c>
      <c r="E386" t="e">
        <f>IF(#REF!="NAN","",IF(
   AND(OR(#REF!=#REF!,#REF!="NAN"),
     OR(#REF!=#REF!,#REF!="NAN"),
     OR(#REF!=#REF!,#REF!="NAN")),
   1,
   0))</f>
        <v>#REF!</v>
      </c>
      <c r="G386" t="e">
        <f>IF(OR(#REF!="UP",#REF!="DOWN"),1,0)</f>
        <v>#REF!</v>
      </c>
      <c r="H386" t="e">
        <f>IF(OR(#REF!="UP",#REF!="DOWN"),1,0)</f>
        <v>#REF!</v>
      </c>
      <c r="I386" t="e">
        <f>IF(OR(#REF!="UP",#REF!="DOWN"),1,0)</f>
        <v>#REF!</v>
      </c>
      <c r="M386" t="e">
        <f>IF(OR(#REF!="UP",#REF!="DOWN"),0,1)</f>
        <v>#REF!</v>
      </c>
      <c r="N386" t="e">
        <f>IF(OR(#REF!="UP",#REF!="DOWN"),VLOOKUP($C386,Configuración!$H$2:$K$11,3),1)</f>
        <v>#REF!</v>
      </c>
      <c r="O386" t="e">
        <f>IF(OR(#REF!="UP",#REF!="DOWN"),VLOOKUP($C386,Configuración!$H$2:$K$11,4),1)</f>
        <v>#REF!</v>
      </c>
      <c r="P386" t="e">
        <f t="shared" si="53"/>
        <v>#REF!</v>
      </c>
      <c r="Q386" t="e">
        <f t="shared" si="54"/>
        <v>#REF!</v>
      </c>
      <c r="R386" t="e">
        <f t="shared" si="62"/>
        <v>#REF!</v>
      </c>
      <c r="T386" t="e">
        <f>IF(R386&lt;&gt;0,Configuración!$E$2,0)</f>
        <v>#REF!</v>
      </c>
      <c r="U386" t="e">
        <f>IF(R386&lt;&gt;0,Configuración!$F$2,0)</f>
        <v>#REF!</v>
      </c>
      <c r="V386" t="e">
        <f>IF(R386&lt;&gt;0,Configuración!$G$2,0)</f>
        <v>#REF!</v>
      </c>
      <c r="W386" t="e">
        <f t="shared" si="55"/>
        <v>#REF!</v>
      </c>
      <c r="X386" t="e">
        <f t="shared" si="56"/>
        <v>#REF!</v>
      </c>
      <c r="Z386" t="e">
        <f t="shared" si="57"/>
        <v>#REF!</v>
      </c>
      <c r="AB386" t="e">
        <f t="shared" si="58"/>
        <v>#REF!</v>
      </c>
      <c r="AG386" t="e">
        <f t="shared" si="59"/>
        <v>#REF!</v>
      </c>
      <c r="AH386" s="5" t="e">
        <f t="shared" si="60"/>
        <v>#REF!</v>
      </c>
      <c r="AI386" t="e">
        <f t="shared" si="61"/>
        <v>#REF!</v>
      </c>
    </row>
    <row r="387" spans="4:35" x14ac:dyDescent="0.55000000000000004">
      <c r="D387" t="e">
        <f>IF(COUNTIF(#REF!,"&lt;&gt;NAN")=0, 0, IF(AND(OR(#REF!=#REF!,#REF!="NAN"), OR(#REF!=#REF!,#REF!="NAN"), OR(#REF!=#REF!,#REF!="NAN")),#REF!, 0))</f>
        <v>#REF!</v>
      </c>
      <c r="E387" t="e">
        <f>IF(#REF!="NAN","",IF(
   AND(OR(#REF!=#REF!,#REF!="NAN"),
     OR(#REF!=#REF!,#REF!="NAN"),
     OR(#REF!=#REF!,#REF!="NAN")),
   1,
   0))</f>
        <v>#REF!</v>
      </c>
      <c r="G387" t="e">
        <f>IF(OR(#REF!="UP",#REF!="DOWN"),1,0)</f>
        <v>#REF!</v>
      </c>
      <c r="H387" t="e">
        <f>IF(OR(#REF!="UP",#REF!="DOWN"),1,0)</f>
        <v>#REF!</v>
      </c>
      <c r="I387" t="e">
        <f>IF(OR(#REF!="UP",#REF!="DOWN"),1,0)</f>
        <v>#REF!</v>
      </c>
      <c r="M387" t="e">
        <f>IF(OR(#REF!="UP",#REF!="DOWN"),0,1)</f>
        <v>#REF!</v>
      </c>
      <c r="N387" t="e">
        <f>IF(OR(#REF!="UP",#REF!="DOWN"),VLOOKUP($C387,Configuración!$H$2:$K$11,3),1)</f>
        <v>#REF!</v>
      </c>
      <c r="O387" t="e">
        <f>IF(OR(#REF!="UP",#REF!="DOWN"),VLOOKUP($C387,Configuración!$H$2:$K$11,4),1)</f>
        <v>#REF!</v>
      </c>
      <c r="P387" t="e">
        <f t="shared" si="53"/>
        <v>#REF!</v>
      </c>
      <c r="Q387" t="e">
        <f t="shared" si="54"/>
        <v>#REF!</v>
      </c>
      <c r="R387" t="e">
        <f t="shared" si="62"/>
        <v>#REF!</v>
      </c>
      <c r="T387" t="e">
        <f>IF(R387&lt;&gt;0,Configuración!$E$2,0)</f>
        <v>#REF!</v>
      </c>
      <c r="U387" t="e">
        <f>IF(R387&lt;&gt;0,Configuración!$F$2,0)</f>
        <v>#REF!</v>
      </c>
      <c r="V387" t="e">
        <f>IF(R387&lt;&gt;0,Configuración!$G$2,0)</f>
        <v>#REF!</v>
      </c>
      <c r="W387" t="e">
        <f t="shared" si="55"/>
        <v>#REF!</v>
      </c>
      <c r="X387" t="e">
        <f t="shared" si="56"/>
        <v>#REF!</v>
      </c>
      <c r="Z387" t="e">
        <f t="shared" si="57"/>
        <v>#REF!</v>
      </c>
      <c r="AB387" t="e">
        <f t="shared" si="58"/>
        <v>#REF!</v>
      </c>
      <c r="AG387" t="e">
        <f t="shared" si="59"/>
        <v>#REF!</v>
      </c>
      <c r="AH387" s="5" t="e">
        <f t="shared" si="60"/>
        <v>#REF!</v>
      </c>
      <c r="AI387" t="e">
        <f t="shared" si="61"/>
        <v>#REF!</v>
      </c>
    </row>
    <row r="388" spans="4:35" x14ac:dyDescent="0.55000000000000004">
      <c r="D388" t="e">
        <f>IF(COUNTIF(#REF!,"&lt;&gt;NAN")=0, 0, IF(AND(OR(#REF!=#REF!,#REF!="NAN"), OR(#REF!=#REF!,#REF!="NAN"), OR(#REF!=#REF!,#REF!="NAN")),#REF!, 0))</f>
        <v>#REF!</v>
      </c>
      <c r="E388" t="e">
        <f>IF(#REF!="NAN","",IF(
   AND(OR(#REF!=#REF!,#REF!="NAN"),
     OR(#REF!=#REF!,#REF!="NAN"),
     OR(#REF!=#REF!,#REF!="NAN")),
   1,
   0))</f>
        <v>#REF!</v>
      </c>
      <c r="G388" t="e">
        <f>IF(OR(#REF!="UP",#REF!="DOWN"),1,0)</f>
        <v>#REF!</v>
      </c>
      <c r="H388" t="e">
        <f>IF(OR(#REF!="UP",#REF!="DOWN"),1,0)</f>
        <v>#REF!</v>
      </c>
      <c r="I388" t="e">
        <f>IF(OR(#REF!="UP",#REF!="DOWN"),1,0)</f>
        <v>#REF!</v>
      </c>
      <c r="M388" t="e">
        <f>IF(OR(#REF!="UP",#REF!="DOWN"),0,1)</f>
        <v>#REF!</v>
      </c>
      <c r="N388" t="e">
        <f>IF(OR(#REF!="UP",#REF!="DOWN"),VLOOKUP($C388,Configuración!$H$2:$K$11,3),1)</f>
        <v>#REF!</v>
      </c>
      <c r="O388" t="e">
        <f>IF(OR(#REF!="UP",#REF!="DOWN"),VLOOKUP($C388,Configuración!$H$2:$K$11,4),1)</f>
        <v>#REF!</v>
      </c>
      <c r="P388" t="e">
        <f t="shared" ref="P388:P451" si="63">IF(SUM(G388:I388)=0,
    0,
    IF(SUM(G388:I388)=1,
        G388*M388 + H388*N388 + I388*O388,
        IF(SUM(G388:I388)=2,
            1 - PRODUCT(
                IF(G388=1,1-M388,1),
                IF(H388=1,1-N388,1),
                IF(I388=1,1-O388,1)
            ),
            IF(SUM(G388:I388)=3,
                1 - PRODUCT(1-M388,1-N388,1-O388),
                0
            )
        )
    )
)</f>
        <v>#REF!</v>
      </c>
      <c r="Q388" t="e">
        <f t="shared" ref="Q388:Q451" si="64">P388*E388</f>
        <v>#REF!</v>
      </c>
      <c r="R388" t="e">
        <f t="shared" si="62"/>
        <v>#REF!</v>
      </c>
      <c r="T388" t="e">
        <f>IF(R388&lt;&gt;0,Configuración!$E$2,0)</f>
        <v>#REF!</v>
      </c>
      <c r="U388" t="e">
        <f>IF(R388&lt;&gt;0,Configuración!$F$2,0)</f>
        <v>#REF!</v>
      </c>
      <c r="V388" t="e">
        <f>IF(R388&lt;&gt;0,Configuración!$G$2,0)</f>
        <v>#REF!</v>
      </c>
      <c r="W388" t="e">
        <f t="shared" ref="W388:W451" si="65">IF(R388="DOWN",S388+(S388*T388/100),S388-(S388*T388/100))</f>
        <v>#REF!</v>
      </c>
      <c r="X388" t="e">
        <f t="shared" ref="X388:X451" si="66">IF(R388="DOWN",S388-(S388*U388/100),S388+(S388*U388/100))</f>
        <v>#REF!</v>
      </c>
      <c r="Z388" t="e">
        <f t="shared" ref="Z388:Z451" si="67">IF(R388="DOWN",IF(Y388 &lt; S388 * (1 - 0.01), Y388 * (1 + 0.005), ""),IF(Y388 &gt; S388 * (1 + 0.01), Y388 * (1 - 0.005), ""))</f>
        <v>#REF!</v>
      </c>
      <c r="AB388" t="e">
        <f t="shared" ref="AB388:AB451" si="68">(($B$1) *(T388))/100</f>
        <v>#REF!</v>
      </c>
      <c r="AG388" t="e">
        <f t="shared" ref="AG388:AG451" si="69">IF(R388="DOWN",(S388-AA388)/S388*1000,(AA388-S388)/S388*1000)</f>
        <v>#REF!</v>
      </c>
      <c r="AH388" s="5" t="e">
        <f t="shared" ref="AH388:AH451" si="70">AB388*(AG388)</f>
        <v>#REF!</v>
      </c>
      <c r="AI388" t="e">
        <f t="shared" ref="AI388:AI451" si="71">IF(AK388&lt;V388,"MANTENER","CERRAR")</f>
        <v>#REF!</v>
      </c>
    </row>
    <row r="389" spans="4:35" x14ac:dyDescent="0.55000000000000004">
      <c r="D389" t="e">
        <f>IF(COUNTIF(#REF!,"&lt;&gt;NAN")=0, 0, IF(AND(OR(#REF!=#REF!,#REF!="NAN"), OR(#REF!=#REF!,#REF!="NAN"), OR(#REF!=#REF!,#REF!="NAN")),#REF!, 0))</f>
        <v>#REF!</v>
      </c>
      <c r="E389" t="e">
        <f>IF(#REF!="NAN","",IF(
   AND(OR(#REF!=#REF!,#REF!="NAN"),
     OR(#REF!=#REF!,#REF!="NAN"),
     OR(#REF!=#REF!,#REF!="NAN")),
   1,
   0))</f>
        <v>#REF!</v>
      </c>
      <c r="G389" t="e">
        <f>IF(OR(#REF!="UP",#REF!="DOWN"),1,0)</f>
        <v>#REF!</v>
      </c>
      <c r="H389" t="e">
        <f>IF(OR(#REF!="UP",#REF!="DOWN"),1,0)</f>
        <v>#REF!</v>
      </c>
      <c r="I389" t="e">
        <f>IF(OR(#REF!="UP",#REF!="DOWN"),1,0)</f>
        <v>#REF!</v>
      </c>
      <c r="M389" t="e">
        <f>IF(OR(#REF!="UP",#REF!="DOWN"),0,1)</f>
        <v>#REF!</v>
      </c>
      <c r="N389" t="e">
        <f>IF(OR(#REF!="UP",#REF!="DOWN"),VLOOKUP($C389,Configuración!$H$2:$K$11,3),1)</f>
        <v>#REF!</v>
      </c>
      <c r="O389" t="e">
        <f>IF(OR(#REF!="UP",#REF!="DOWN"),VLOOKUP($C389,Configuración!$H$2:$K$11,4),1)</f>
        <v>#REF!</v>
      </c>
      <c r="P389" t="e">
        <f t="shared" si="63"/>
        <v>#REF!</v>
      </c>
      <c r="Q389" t="e">
        <f t="shared" si="64"/>
        <v>#REF!</v>
      </c>
      <c r="R389" t="e">
        <f t="shared" si="62"/>
        <v>#REF!</v>
      </c>
      <c r="T389" t="e">
        <f>IF(R389&lt;&gt;0,Configuración!$E$2,0)</f>
        <v>#REF!</v>
      </c>
      <c r="U389" t="e">
        <f>IF(R389&lt;&gt;0,Configuración!$F$2,0)</f>
        <v>#REF!</v>
      </c>
      <c r="V389" t="e">
        <f>IF(R389&lt;&gt;0,Configuración!$G$2,0)</f>
        <v>#REF!</v>
      </c>
      <c r="W389" t="e">
        <f t="shared" si="65"/>
        <v>#REF!</v>
      </c>
      <c r="X389" t="e">
        <f t="shared" si="66"/>
        <v>#REF!</v>
      </c>
      <c r="Z389" t="e">
        <f t="shared" si="67"/>
        <v>#REF!</v>
      </c>
      <c r="AB389" t="e">
        <f t="shared" si="68"/>
        <v>#REF!</v>
      </c>
      <c r="AG389" t="e">
        <f t="shared" si="69"/>
        <v>#REF!</v>
      </c>
      <c r="AH389" s="5" t="e">
        <f t="shared" si="70"/>
        <v>#REF!</v>
      </c>
      <c r="AI389" t="e">
        <f t="shared" si="71"/>
        <v>#REF!</v>
      </c>
    </row>
    <row r="390" spans="4:35" x14ac:dyDescent="0.55000000000000004">
      <c r="D390" t="e">
        <f>IF(COUNTIF(#REF!,"&lt;&gt;NAN")=0, 0, IF(AND(OR(#REF!=#REF!,#REF!="NAN"), OR(#REF!=#REF!,#REF!="NAN"), OR(#REF!=#REF!,#REF!="NAN")),#REF!, 0))</f>
        <v>#REF!</v>
      </c>
      <c r="E390" t="e">
        <f>IF(#REF!="NAN","",IF(
   AND(OR(#REF!=#REF!,#REF!="NAN"),
     OR(#REF!=#REF!,#REF!="NAN"),
     OR(#REF!=#REF!,#REF!="NAN")),
   1,
   0))</f>
        <v>#REF!</v>
      </c>
      <c r="G390" t="e">
        <f>IF(OR(#REF!="UP",#REF!="DOWN"),1,0)</f>
        <v>#REF!</v>
      </c>
      <c r="H390" t="e">
        <f>IF(OR(#REF!="UP",#REF!="DOWN"),1,0)</f>
        <v>#REF!</v>
      </c>
      <c r="I390" t="e">
        <f>IF(OR(#REF!="UP",#REF!="DOWN"),1,0)</f>
        <v>#REF!</v>
      </c>
      <c r="M390" t="e">
        <f>IF(OR(#REF!="UP",#REF!="DOWN"),0,1)</f>
        <v>#REF!</v>
      </c>
      <c r="N390" t="e">
        <f>IF(OR(#REF!="UP",#REF!="DOWN"),VLOOKUP($C390,Configuración!$H$2:$K$11,3),1)</f>
        <v>#REF!</v>
      </c>
      <c r="O390" t="e">
        <f>IF(OR(#REF!="UP",#REF!="DOWN"),VLOOKUP($C390,Configuración!$H$2:$K$11,4),1)</f>
        <v>#REF!</v>
      </c>
      <c r="P390" t="e">
        <f t="shared" si="63"/>
        <v>#REF!</v>
      </c>
      <c r="Q390" t="e">
        <f t="shared" si="64"/>
        <v>#REF!</v>
      </c>
      <c r="R390" t="e">
        <f t="shared" si="62"/>
        <v>#REF!</v>
      </c>
      <c r="T390" t="e">
        <f>IF(R390&lt;&gt;0,Configuración!$E$2,0)</f>
        <v>#REF!</v>
      </c>
      <c r="U390" t="e">
        <f>IF(R390&lt;&gt;0,Configuración!$F$2,0)</f>
        <v>#REF!</v>
      </c>
      <c r="V390" t="e">
        <f>IF(R390&lt;&gt;0,Configuración!$G$2,0)</f>
        <v>#REF!</v>
      </c>
      <c r="W390" t="e">
        <f t="shared" si="65"/>
        <v>#REF!</v>
      </c>
      <c r="X390" t="e">
        <f t="shared" si="66"/>
        <v>#REF!</v>
      </c>
      <c r="Z390" t="e">
        <f t="shared" si="67"/>
        <v>#REF!</v>
      </c>
      <c r="AB390" t="e">
        <f t="shared" si="68"/>
        <v>#REF!</v>
      </c>
      <c r="AG390" t="e">
        <f t="shared" si="69"/>
        <v>#REF!</v>
      </c>
      <c r="AH390" s="5" t="e">
        <f t="shared" si="70"/>
        <v>#REF!</v>
      </c>
      <c r="AI390" t="e">
        <f t="shared" si="71"/>
        <v>#REF!</v>
      </c>
    </row>
    <row r="391" spans="4:35" x14ac:dyDescent="0.55000000000000004">
      <c r="D391" t="e">
        <f>IF(COUNTIF(#REF!,"&lt;&gt;NAN")=0, 0, IF(AND(OR(#REF!=#REF!,#REF!="NAN"), OR(#REF!=#REF!,#REF!="NAN"), OR(#REF!=#REF!,#REF!="NAN")),#REF!, 0))</f>
        <v>#REF!</v>
      </c>
      <c r="E391" t="e">
        <f>IF(#REF!="NAN","",IF(
   AND(OR(#REF!=#REF!,#REF!="NAN"),
     OR(#REF!=#REF!,#REF!="NAN"),
     OR(#REF!=#REF!,#REF!="NAN")),
   1,
   0))</f>
        <v>#REF!</v>
      </c>
      <c r="G391" t="e">
        <f>IF(OR(#REF!="UP",#REF!="DOWN"),1,0)</f>
        <v>#REF!</v>
      </c>
      <c r="H391" t="e">
        <f>IF(OR(#REF!="UP",#REF!="DOWN"),1,0)</f>
        <v>#REF!</v>
      </c>
      <c r="I391" t="e">
        <f>IF(OR(#REF!="UP",#REF!="DOWN"),1,0)</f>
        <v>#REF!</v>
      </c>
      <c r="M391" t="e">
        <f>IF(OR(#REF!="UP",#REF!="DOWN"),0,1)</f>
        <v>#REF!</v>
      </c>
      <c r="N391" t="e">
        <f>IF(OR(#REF!="UP",#REF!="DOWN"),VLOOKUP($C391,Configuración!$H$2:$K$11,3),1)</f>
        <v>#REF!</v>
      </c>
      <c r="O391" t="e">
        <f>IF(OR(#REF!="UP",#REF!="DOWN"),VLOOKUP($C391,Configuración!$H$2:$K$11,4),1)</f>
        <v>#REF!</v>
      </c>
      <c r="P391" t="e">
        <f t="shared" si="63"/>
        <v>#REF!</v>
      </c>
      <c r="Q391" t="e">
        <f t="shared" si="64"/>
        <v>#REF!</v>
      </c>
      <c r="R391" t="e">
        <f t="shared" si="62"/>
        <v>#REF!</v>
      </c>
      <c r="T391" t="e">
        <f>IF(R391&lt;&gt;0,Configuración!$E$2,0)</f>
        <v>#REF!</v>
      </c>
      <c r="U391" t="e">
        <f>IF(R391&lt;&gt;0,Configuración!$F$2,0)</f>
        <v>#REF!</v>
      </c>
      <c r="V391" t="e">
        <f>IF(R391&lt;&gt;0,Configuración!$G$2,0)</f>
        <v>#REF!</v>
      </c>
      <c r="W391" t="e">
        <f t="shared" si="65"/>
        <v>#REF!</v>
      </c>
      <c r="X391" t="e">
        <f t="shared" si="66"/>
        <v>#REF!</v>
      </c>
      <c r="Z391" t="e">
        <f t="shared" si="67"/>
        <v>#REF!</v>
      </c>
      <c r="AB391" t="e">
        <f t="shared" si="68"/>
        <v>#REF!</v>
      </c>
      <c r="AG391" t="e">
        <f t="shared" si="69"/>
        <v>#REF!</v>
      </c>
      <c r="AH391" s="5" t="e">
        <f t="shared" si="70"/>
        <v>#REF!</v>
      </c>
      <c r="AI391" t="e">
        <f t="shared" si="71"/>
        <v>#REF!</v>
      </c>
    </row>
    <row r="392" spans="4:35" x14ac:dyDescent="0.55000000000000004">
      <c r="D392" t="e">
        <f>IF(COUNTIF(#REF!,"&lt;&gt;NAN")=0, 0, IF(AND(OR(#REF!=#REF!,#REF!="NAN"), OR(#REF!=#REF!,#REF!="NAN"), OR(#REF!=#REF!,#REF!="NAN")),#REF!, 0))</f>
        <v>#REF!</v>
      </c>
      <c r="E392" t="e">
        <f>IF(#REF!="NAN","",IF(
   AND(OR(#REF!=#REF!,#REF!="NAN"),
     OR(#REF!=#REF!,#REF!="NAN"),
     OR(#REF!=#REF!,#REF!="NAN")),
   1,
   0))</f>
        <v>#REF!</v>
      </c>
      <c r="G392" t="e">
        <f>IF(OR(#REF!="UP",#REF!="DOWN"),1,0)</f>
        <v>#REF!</v>
      </c>
      <c r="H392" t="e">
        <f>IF(OR(#REF!="UP",#REF!="DOWN"),1,0)</f>
        <v>#REF!</v>
      </c>
      <c r="I392" t="e">
        <f>IF(OR(#REF!="UP",#REF!="DOWN"),1,0)</f>
        <v>#REF!</v>
      </c>
      <c r="M392" t="e">
        <f>IF(OR(#REF!="UP",#REF!="DOWN"),0,1)</f>
        <v>#REF!</v>
      </c>
      <c r="N392" t="e">
        <f>IF(OR(#REF!="UP",#REF!="DOWN"),VLOOKUP($C392,Configuración!$H$2:$K$11,3),1)</f>
        <v>#REF!</v>
      </c>
      <c r="O392" t="e">
        <f>IF(OR(#REF!="UP",#REF!="DOWN"),VLOOKUP($C392,Configuración!$H$2:$K$11,4),1)</f>
        <v>#REF!</v>
      </c>
      <c r="P392" t="e">
        <f t="shared" si="63"/>
        <v>#REF!</v>
      </c>
      <c r="Q392" t="e">
        <f t="shared" si="64"/>
        <v>#REF!</v>
      </c>
      <c r="R392" t="e">
        <f t="shared" si="62"/>
        <v>#REF!</v>
      </c>
      <c r="T392" t="e">
        <f>IF(R392&lt;&gt;0,Configuración!$E$2,0)</f>
        <v>#REF!</v>
      </c>
      <c r="U392" t="e">
        <f>IF(R392&lt;&gt;0,Configuración!$F$2,0)</f>
        <v>#REF!</v>
      </c>
      <c r="V392" t="e">
        <f>IF(R392&lt;&gt;0,Configuración!$G$2,0)</f>
        <v>#REF!</v>
      </c>
      <c r="W392" t="e">
        <f t="shared" si="65"/>
        <v>#REF!</v>
      </c>
      <c r="X392" t="e">
        <f t="shared" si="66"/>
        <v>#REF!</v>
      </c>
      <c r="Z392" t="e">
        <f t="shared" si="67"/>
        <v>#REF!</v>
      </c>
      <c r="AB392" t="e">
        <f t="shared" si="68"/>
        <v>#REF!</v>
      </c>
      <c r="AG392" t="e">
        <f t="shared" si="69"/>
        <v>#REF!</v>
      </c>
      <c r="AH392" s="5" t="e">
        <f t="shared" si="70"/>
        <v>#REF!</v>
      </c>
      <c r="AI392" t="e">
        <f t="shared" si="71"/>
        <v>#REF!</v>
      </c>
    </row>
    <row r="393" spans="4:35" x14ac:dyDescent="0.55000000000000004">
      <c r="D393" t="e">
        <f>IF(COUNTIF(#REF!,"&lt;&gt;NAN")=0, 0, IF(AND(OR(#REF!=#REF!,#REF!="NAN"), OR(#REF!=#REF!,#REF!="NAN"), OR(#REF!=#REF!,#REF!="NAN")),#REF!, 0))</f>
        <v>#REF!</v>
      </c>
      <c r="E393" t="e">
        <f>IF(#REF!="NAN","",IF(
   AND(OR(#REF!=#REF!,#REF!="NAN"),
     OR(#REF!=#REF!,#REF!="NAN"),
     OR(#REF!=#REF!,#REF!="NAN")),
   1,
   0))</f>
        <v>#REF!</v>
      </c>
      <c r="G393" t="e">
        <f>IF(OR(#REF!="UP",#REF!="DOWN"),1,0)</f>
        <v>#REF!</v>
      </c>
      <c r="H393" t="e">
        <f>IF(OR(#REF!="UP",#REF!="DOWN"),1,0)</f>
        <v>#REF!</v>
      </c>
      <c r="I393" t="e">
        <f>IF(OR(#REF!="UP",#REF!="DOWN"),1,0)</f>
        <v>#REF!</v>
      </c>
      <c r="M393" t="e">
        <f>IF(OR(#REF!="UP",#REF!="DOWN"),0,1)</f>
        <v>#REF!</v>
      </c>
      <c r="N393" t="e">
        <f>IF(OR(#REF!="UP",#REF!="DOWN"),VLOOKUP($C393,Configuración!$H$2:$K$11,3),1)</f>
        <v>#REF!</v>
      </c>
      <c r="O393" t="e">
        <f>IF(OR(#REF!="UP",#REF!="DOWN"),VLOOKUP($C393,Configuración!$H$2:$K$11,4),1)</f>
        <v>#REF!</v>
      </c>
      <c r="P393" t="e">
        <f t="shared" si="63"/>
        <v>#REF!</v>
      </c>
      <c r="Q393" t="e">
        <f t="shared" si="64"/>
        <v>#REF!</v>
      </c>
      <c r="R393" t="e">
        <f t="shared" si="62"/>
        <v>#REF!</v>
      </c>
      <c r="T393" t="e">
        <f>IF(R393&lt;&gt;0,Configuración!$E$2,0)</f>
        <v>#REF!</v>
      </c>
      <c r="U393" t="e">
        <f>IF(R393&lt;&gt;0,Configuración!$F$2,0)</f>
        <v>#REF!</v>
      </c>
      <c r="V393" t="e">
        <f>IF(R393&lt;&gt;0,Configuración!$G$2,0)</f>
        <v>#REF!</v>
      </c>
      <c r="W393" t="e">
        <f t="shared" si="65"/>
        <v>#REF!</v>
      </c>
      <c r="X393" t="e">
        <f t="shared" si="66"/>
        <v>#REF!</v>
      </c>
      <c r="Z393" t="e">
        <f t="shared" si="67"/>
        <v>#REF!</v>
      </c>
      <c r="AB393" t="e">
        <f t="shared" si="68"/>
        <v>#REF!</v>
      </c>
      <c r="AG393" t="e">
        <f t="shared" si="69"/>
        <v>#REF!</v>
      </c>
      <c r="AH393" s="5" t="e">
        <f t="shared" si="70"/>
        <v>#REF!</v>
      </c>
      <c r="AI393" t="e">
        <f t="shared" si="71"/>
        <v>#REF!</v>
      </c>
    </row>
    <row r="394" spans="4:35" x14ac:dyDescent="0.55000000000000004">
      <c r="D394" t="e">
        <f>IF(COUNTIF(#REF!,"&lt;&gt;NAN")=0, 0, IF(AND(OR(#REF!=#REF!,#REF!="NAN"), OR(#REF!=#REF!,#REF!="NAN"), OR(#REF!=#REF!,#REF!="NAN")),#REF!, 0))</f>
        <v>#REF!</v>
      </c>
      <c r="E394" t="e">
        <f>IF(#REF!="NAN","",IF(
   AND(OR(#REF!=#REF!,#REF!="NAN"),
     OR(#REF!=#REF!,#REF!="NAN"),
     OR(#REF!=#REF!,#REF!="NAN")),
   1,
   0))</f>
        <v>#REF!</v>
      </c>
      <c r="G394" t="e">
        <f>IF(OR(#REF!="UP",#REF!="DOWN"),1,0)</f>
        <v>#REF!</v>
      </c>
      <c r="H394" t="e">
        <f>IF(OR(#REF!="UP",#REF!="DOWN"),1,0)</f>
        <v>#REF!</v>
      </c>
      <c r="I394" t="e">
        <f>IF(OR(#REF!="UP",#REF!="DOWN"),1,0)</f>
        <v>#REF!</v>
      </c>
      <c r="M394" t="e">
        <f>IF(OR(#REF!="UP",#REF!="DOWN"),0,1)</f>
        <v>#REF!</v>
      </c>
      <c r="N394" t="e">
        <f>IF(OR(#REF!="UP",#REF!="DOWN"),VLOOKUP($C394,Configuración!$H$2:$K$11,3),1)</f>
        <v>#REF!</v>
      </c>
      <c r="O394" t="e">
        <f>IF(OR(#REF!="UP",#REF!="DOWN"),VLOOKUP($C394,Configuración!$H$2:$K$11,4),1)</f>
        <v>#REF!</v>
      </c>
      <c r="P394" t="e">
        <f t="shared" si="63"/>
        <v>#REF!</v>
      </c>
      <c r="Q394" t="e">
        <f t="shared" si="64"/>
        <v>#REF!</v>
      </c>
      <c r="R394" t="e">
        <f t="shared" si="62"/>
        <v>#REF!</v>
      </c>
      <c r="T394" t="e">
        <f>IF(R394&lt;&gt;0,Configuración!$E$2,0)</f>
        <v>#REF!</v>
      </c>
      <c r="U394" t="e">
        <f>IF(R394&lt;&gt;0,Configuración!$F$2,0)</f>
        <v>#REF!</v>
      </c>
      <c r="V394" t="e">
        <f>IF(R394&lt;&gt;0,Configuración!$G$2,0)</f>
        <v>#REF!</v>
      </c>
      <c r="W394" t="e">
        <f t="shared" si="65"/>
        <v>#REF!</v>
      </c>
      <c r="X394" t="e">
        <f t="shared" si="66"/>
        <v>#REF!</v>
      </c>
      <c r="Z394" t="e">
        <f t="shared" si="67"/>
        <v>#REF!</v>
      </c>
      <c r="AB394" t="e">
        <f t="shared" si="68"/>
        <v>#REF!</v>
      </c>
      <c r="AG394" t="e">
        <f t="shared" si="69"/>
        <v>#REF!</v>
      </c>
      <c r="AH394" s="5" t="e">
        <f t="shared" si="70"/>
        <v>#REF!</v>
      </c>
      <c r="AI394" t="e">
        <f t="shared" si="71"/>
        <v>#REF!</v>
      </c>
    </row>
    <row r="395" spans="4:35" x14ac:dyDescent="0.55000000000000004">
      <c r="D395" t="e">
        <f>IF(COUNTIF(#REF!,"&lt;&gt;NAN")=0, 0, IF(AND(OR(#REF!=#REF!,#REF!="NAN"), OR(#REF!=#REF!,#REF!="NAN"), OR(#REF!=#REF!,#REF!="NAN")),#REF!, 0))</f>
        <v>#REF!</v>
      </c>
      <c r="E395" t="e">
        <f>IF(#REF!="NAN","",IF(
   AND(OR(#REF!=#REF!,#REF!="NAN"),
     OR(#REF!=#REF!,#REF!="NAN"),
     OR(#REF!=#REF!,#REF!="NAN")),
   1,
   0))</f>
        <v>#REF!</v>
      </c>
      <c r="G395" t="e">
        <f>IF(OR(#REF!="UP",#REF!="DOWN"),1,0)</f>
        <v>#REF!</v>
      </c>
      <c r="H395" t="e">
        <f>IF(OR(#REF!="UP",#REF!="DOWN"),1,0)</f>
        <v>#REF!</v>
      </c>
      <c r="I395" t="e">
        <f>IF(OR(#REF!="UP",#REF!="DOWN"),1,0)</f>
        <v>#REF!</v>
      </c>
      <c r="M395" t="e">
        <f>IF(OR(#REF!="UP",#REF!="DOWN"),0,1)</f>
        <v>#REF!</v>
      </c>
      <c r="N395" t="e">
        <f>IF(OR(#REF!="UP",#REF!="DOWN"),VLOOKUP($C395,Configuración!$H$2:$K$11,3),1)</f>
        <v>#REF!</v>
      </c>
      <c r="O395" t="e">
        <f>IF(OR(#REF!="UP",#REF!="DOWN"),VLOOKUP($C395,Configuración!$H$2:$K$11,4),1)</f>
        <v>#REF!</v>
      </c>
      <c r="P395" t="e">
        <f t="shared" si="63"/>
        <v>#REF!</v>
      </c>
      <c r="Q395" t="e">
        <f t="shared" si="64"/>
        <v>#REF!</v>
      </c>
      <c r="R395" t="e">
        <f t="shared" si="62"/>
        <v>#REF!</v>
      </c>
      <c r="T395" t="e">
        <f>IF(R395&lt;&gt;0,Configuración!$E$2,0)</f>
        <v>#REF!</v>
      </c>
      <c r="U395" t="e">
        <f>IF(R395&lt;&gt;0,Configuración!$F$2,0)</f>
        <v>#REF!</v>
      </c>
      <c r="V395" t="e">
        <f>IF(R395&lt;&gt;0,Configuración!$G$2,0)</f>
        <v>#REF!</v>
      </c>
      <c r="W395" t="e">
        <f t="shared" si="65"/>
        <v>#REF!</v>
      </c>
      <c r="X395" t="e">
        <f t="shared" si="66"/>
        <v>#REF!</v>
      </c>
      <c r="Z395" t="e">
        <f t="shared" si="67"/>
        <v>#REF!</v>
      </c>
      <c r="AB395" t="e">
        <f t="shared" si="68"/>
        <v>#REF!</v>
      </c>
      <c r="AG395" t="e">
        <f t="shared" si="69"/>
        <v>#REF!</v>
      </c>
      <c r="AH395" s="5" t="e">
        <f t="shared" si="70"/>
        <v>#REF!</v>
      </c>
      <c r="AI395" t="e">
        <f t="shared" si="71"/>
        <v>#REF!</v>
      </c>
    </row>
    <row r="396" spans="4:35" x14ac:dyDescent="0.55000000000000004">
      <c r="D396" t="e">
        <f>IF(COUNTIF(#REF!,"&lt;&gt;NAN")=0, 0, IF(AND(OR(#REF!=#REF!,#REF!="NAN"), OR(#REF!=#REF!,#REF!="NAN"), OR(#REF!=#REF!,#REF!="NAN")),#REF!, 0))</f>
        <v>#REF!</v>
      </c>
      <c r="E396" t="e">
        <f>IF(#REF!="NAN","",IF(
   AND(OR(#REF!=#REF!,#REF!="NAN"),
     OR(#REF!=#REF!,#REF!="NAN"),
     OR(#REF!=#REF!,#REF!="NAN")),
   1,
   0))</f>
        <v>#REF!</v>
      </c>
      <c r="G396" t="e">
        <f>IF(OR(#REF!="UP",#REF!="DOWN"),1,0)</f>
        <v>#REF!</v>
      </c>
      <c r="H396" t="e">
        <f>IF(OR(#REF!="UP",#REF!="DOWN"),1,0)</f>
        <v>#REF!</v>
      </c>
      <c r="I396" t="e">
        <f>IF(OR(#REF!="UP",#REF!="DOWN"),1,0)</f>
        <v>#REF!</v>
      </c>
      <c r="M396" t="e">
        <f>IF(OR(#REF!="UP",#REF!="DOWN"),0,1)</f>
        <v>#REF!</v>
      </c>
      <c r="N396" t="e">
        <f>IF(OR(#REF!="UP",#REF!="DOWN"),VLOOKUP($C396,Configuración!$H$2:$K$11,3),1)</f>
        <v>#REF!</v>
      </c>
      <c r="O396" t="e">
        <f>IF(OR(#REF!="UP",#REF!="DOWN"),VLOOKUP($C396,Configuración!$H$2:$K$11,4),1)</f>
        <v>#REF!</v>
      </c>
      <c r="P396" t="e">
        <f t="shared" si="63"/>
        <v>#REF!</v>
      </c>
      <c r="Q396" t="e">
        <f t="shared" si="64"/>
        <v>#REF!</v>
      </c>
      <c r="R396" t="e">
        <f t="shared" si="62"/>
        <v>#REF!</v>
      </c>
      <c r="T396" t="e">
        <f>IF(R396&lt;&gt;0,Configuración!$E$2,0)</f>
        <v>#REF!</v>
      </c>
      <c r="U396" t="e">
        <f>IF(R396&lt;&gt;0,Configuración!$F$2,0)</f>
        <v>#REF!</v>
      </c>
      <c r="V396" t="e">
        <f>IF(R396&lt;&gt;0,Configuración!$G$2,0)</f>
        <v>#REF!</v>
      </c>
      <c r="W396" t="e">
        <f t="shared" si="65"/>
        <v>#REF!</v>
      </c>
      <c r="X396" t="e">
        <f t="shared" si="66"/>
        <v>#REF!</v>
      </c>
      <c r="Z396" t="e">
        <f t="shared" si="67"/>
        <v>#REF!</v>
      </c>
      <c r="AB396" t="e">
        <f t="shared" si="68"/>
        <v>#REF!</v>
      </c>
      <c r="AG396" t="e">
        <f t="shared" si="69"/>
        <v>#REF!</v>
      </c>
      <c r="AH396" s="5" t="e">
        <f t="shared" si="70"/>
        <v>#REF!</v>
      </c>
      <c r="AI396" t="e">
        <f t="shared" si="71"/>
        <v>#REF!</v>
      </c>
    </row>
    <row r="397" spans="4:35" x14ac:dyDescent="0.55000000000000004">
      <c r="D397" t="e">
        <f>IF(COUNTIF(#REF!,"&lt;&gt;NAN")=0, 0, IF(AND(OR(#REF!=#REF!,#REF!="NAN"), OR(#REF!=#REF!,#REF!="NAN"), OR(#REF!=#REF!,#REF!="NAN")),#REF!, 0))</f>
        <v>#REF!</v>
      </c>
      <c r="E397" t="e">
        <f>IF(#REF!="NAN","",IF(
   AND(OR(#REF!=#REF!,#REF!="NAN"),
     OR(#REF!=#REF!,#REF!="NAN"),
     OR(#REF!=#REF!,#REF!="NAN")),
   1,
   0))</f>
        <v>#REF!</v>
      </c>
      <c r="G397" t="e">
        <f>IF(OR(#REF!="UP",#REF!="DOWN"),1,0)</f>
        <v>#REF!</v>
      </c>
      <c r="H397" t="e">
        <f>IF(OR(#REF!="UP",#REF!="DOWN"),1,0)</f>
        <v>#REF!</v>
      </c>
      <c r="I397" t="e">
        <f>IF(OR(#REF!="UP",#REF!="DOWN"),1,0)</f>
        <v>#REF!</v>
      </c>
      <c r="M397" t="e">
        <f>IF(OR(#REF!="UP",#REF!="DOWN"),0,1)</f>
        <v>#REF!</v>
      </c>
      <c r="N397" t="e">
        <f>IF(OR(#REF!="UP",#REF!="DOWN"),VLOOKUP($C397,Configuración!$H$2:$K$11,3),1)</f>
        <v>#REF!</v>
      </c>
      <c r="O397" t="e">
        <f>IF(OR(#REF!="UP",#REF!="DOWN"),VLOOKUP($C397,Configuración!$H$2:$K$11,4),1)</f>
        <v>#REF!</v>
      </c>
      <c r="P397" t="e">
        <f t="shared" si="63"/>
        <v>#REF!</v>
      </c>
      <c r="Q397" t="e">
        <f t="shared" si="64"/>
        <v>#REF!</v>
      </c>
      <c r="R397" t="e">
        <f t="shared" si="62"/>
        <v>#REF!</v>
      </c>
      <c r="T397" t="e">
        <f>IF(R397&lt;&gt;0,Configuración!$E$2,0)</f>
        <v>#REF!</v>
      </c>
      <c r="U397" t="e">
        <f>IF(R397&lt;&gt;0,Configuración!$F$2,0)</f>
        <v>#REF!</v>
      </c>
      <c r="V397" t="e">
        <f>IF(R397&lt;&gt;0,Configuración!$G$2,0)</f>
        <v>#REF!</v>
      </c>
      <c r="W397" t="e">
        <f t="shared" si="65"/>
        <v>#REF!</v>
      </c>
      <c r="X397" t="e">
        <f t="shared" si="66"/>
        <v>#REF!</v>
      </c>
      <c r="Z397" t="e">
        <f t="shared" si="67"/>
        <v>#REF!</v>
      </c>
      <c r="AB397" t="e">
        <f t="shared" si="68"/>
        <v>#REF!</v>
      </c>
      <c r="AG397" t="e">
        <f t="shared" si="69"/>
        <v>#REF!</v>
      </c>
      <c r="AH397" s="5" t="e">
        <f t="shared" si="70"/>
        <v>#REF!</v>
      </c>
      <c r="AI397" t="e">
        <f t="shared" si="71"/>
        <v>#REF!</v>
      </c>
    </row>
    <row r="398" spans="4:35" x14ac:dyDescent="0.55000000000000004">
      <c r="D398" t="e">
        <f>IF(COUNTIF(#REF!,"&lt;&gt;NAN")=0, 0, IF(AND(OR(#REF!=#REF!,#REF!="NAN"), OR(#REF!=#REF!,#REF!="NAN"), OR(#REF!=#REF!,#REF!="NAN")),#REF!, 0))</f>
        <v>#REF!</v>
      </c>
      <c r="E398" t="e">
        <f>IF(#REF!="NAN","",IF(
   AND(OR(#REF!=#REF!,#REF!="NAN"),
     OR(#REF!=#REF!,#REF!="NAN"),
     OR(#REF!=#REF!,#REF!="NAN")),
   1,
   0))</f>
        <v>#REF!</v>
      </c>
      <c r="G398" t="e">
        <f>IF(OR(#REF!="UP",#REF!="DOWN"),1,0)</f>
        <v>#REF!</v>
      </c>
      <c r="H398" t="e">
        <f>IF(OR(#REF!="UP",#REF!="DOWN"),1,0)</f>
        <v>#REF!</v>
      </c>
      <c r="I398" t="e">
        <f>IF(OR(#REF!="UP",#REF!="DOWN"),1,0)</f>
        <v>#REF!</v>
      </c>
      <c r="M398" t="e">
        <f>IF(OR(#REF!="UP",#REF!="DOWN"),0,1)</f>
        <v>#REF!</v>
      </c>
      <c r="N398" t="e">
        <f>IF(OR(#REF!="UP",#REF!="DOWN"),VLOOKUP($C398,Configuración!$H$2:$K$11,3),1)</f>
        <v>#REF!</v>
      </c>
      <c r="O398" t="e">
        <f>IF(OR(#REF!="UP",#REF!="DOWN"),VLOOKUP($C398,Configuración!$H$2:$K$11,4),1)</f>
        <v>#REF!</v>
      </c>
      <c r="P398" t="e">
        <f t="shared" si="63"/>
        <v>#REF!</v>
      </c>
      <c r="Q398" t="e">
        <f t="shared" si="64"/>
        <v>#REF!</v>
      </c>
      <c r="R398" t="e">
        <f t="shared" si="62"/>
        <v>#REF!</v>
      </c>
      <c r="T398" t="e">
        <f>IF(R398&lt;&gt;0,Configuración!$E$2,0)</f>
        <v>#REF!</v>
      </c>
      <c r="U398" t="e">
        <f>IF(R398&lt;&gt;0,Configuración!$F$2,0)</f>
        <v>#REF!</v>
      </c>
      <c r="V398" t="e">
        <f>IF(R398&lt;&gt;0,Configuración!$G$2,0)</f>
        <v>#REF!</v>
      </c>
      <c r="W398" t="e">
        <f t="shared" si="65"/>
        <v>#REF!</v>
      </c>
      <c r="X398" t="e">
        <f t="shared" si="66"/>
        <v>#REF!</v>
      </c>
      <c r="Z398" t="e">
        <f t="shared" si="67"/>
        <v>#REF!</v>
      </c>
      <c r="AB398" t="e">
        <f t="shared" si="68"/>
        <v>#REF!</v>
      </c>
      <c r="AG398" t="e">
        <f t="shared" si="69"/>
        <v>#REF!</v>
      </c>
      <c r="AH398" s="5" t="e">
        <f t="shared" si="70"/>
        <v>#REF!</v>
      </c>
      <c r="AI398" t="e">
        <f t="shared" si="71"/>
        <v>#REF!</v>
      </c>
    </row>
    <row r="399" spans="4:35" x14ac:dyDescent="0.55000000000000004">
      <c r="D399" t="e">
        <f>IF(COUNTIF(#REF!,"&lt;&gt;NAN")=0, 0, IF(AND(OR(#REF!=#REF!,#REF!="NAN"), OR(#REF!=#REF!,#REF!="NAN"), OR(#REF!=#REF!,#REF!="NAN")),#REF!, 0))</f>
        <v>#REF!</v>
      </c>
      <c r="E399" t="e">
        <f>IF(#REF!="NAN","",IF(
   AND(OR(#REF!=#REF!,#REF!="NAN"),
     OR(#REF!=#REF!,#REF!="NAN"),
     OR(#REF!=#REF!,#REF!="NAN")),
   1,
   0))</f>
        <v>#REF!</v>
      </c>
      <c r="G399" t="e">
        <f>IF(OR(#REF!="UP",#REF!="DOWN"),1,0)</f>
        <v>#REF!</v>
      </c>
      <c r="H399" t="e">
        <f>IF(OR(#REF!="UP",#REF!="DOWN"),1,0)</f>
        <v>#REF!</v>
      </c>
      <c r="I399" t="e">
        <f>IF(OR(#REF!="UP",#REF!="DOWN"),1,0)</f>
        <v>#REF!</v>
      </c>
      <c r="M399" t="e">
        <f>IF(OR(#REF!="UP",#REF!="DOWN"),0,1)</f>
        <v>#REF!</v>
      </c>
      <c r="N399" t="e">
        <f>IF(OR(#REF!="UP",#REF!="DOWN"),VLOOKUP($C399,Configuración!$H$2:$K$11,3),1)</f>
        <v>#REF!</v>
      </c>
      <c r="O399" t="e">
        <f>IF(OR(#REF!="UP",#REF!="DOWN"),VLOOKUP($C399,Configuración!$H$2:$K$11,4),1)</f>
        <v>#REF!</v>
      </c>
      <c r="P399" t="e">
        <f t="shared" si="63"/>
        <v>#REF!</v>
      </c>
      <c r="Q399" t="e">
        <f t="shared" si="64"/>
        <v>#REF!</v>
      </c>
      <c r="R399" t="e">
        <f t="shared" si="62"/>
        <v>#REF!</v>
      </c>
      <c r="T399" t="e">
        <f>IF(R399&lt;&gt;0,Configuración!$E$2,0)</f>
        <v>#REF!</v>
      </c>
      <c r="U399" t="e">
        <f>IF(R399&lt;&gt;0,Configuración!$F$2,0)</f>
        <v>#REF!</v>
      </c>
      <c r="V399" t="e">
        <f>IF(R399&lt;&gt;0,Configuración!$G$2,0)</f>
        <v>#REF!</v>
      </c>
      <c r="W399" t="e">
        <f t="shared" si="65"/>
        <v>#REF!</v>
      </c>
      <c r="X399" t="e">
        <f t="shared" si="66"/>
        <v>#REF!</v>
      </c>
      <c r="Z399" t="e">
        <f t="shared" si="67"/>
        <v>#REF!</v>
      </c>
      <c r="AB399" t="e">
        <f t="shared" si="68"/>
        <v>#REF!</v>
      </c>
      <c r="AG399" t="e">
        <f t="shared" si="69"/>
        <v>#REF!</v>
      </c>
      <c r="AH399" s="5" t="e">
        <f t="shared" si="70"/>
        <v>#REF!</v>
      </c>
      <c r="AI399" t="e">
        <f t="shared" si="71"/>
        <v>#REF!</v>
      </c>
    </row>
    <row r="400" spans="4:35" x14ac:dyDescent="0.55000000000000004">
      <c r="D400" t="e">
        <f>IF(COUNTIF(#REF!,"&lt;&gt;NAN")=0, 0, IF(AND(OR(#REF!=#REF!,#REF!="NAN"), OR(#REF!=#REF!,#REF!="NAN"), OR(#REF!=#REF!,#REF!="NAN")),#REF!, 0))</f>
        <v>#REF!</v>
      </c>
      <c r="E400" t="e">
        <f>IF(#REF!="NAN","",IF(
   AND(OR(#REF!=#REF!,#REF!="NAN"),
     OR(#REF!=#REF!,#REF!="NAN"),
     OR(#REF!=#REF!,#REF!="NAN")),
   1,
   0))</f>
        <v>#REF!</v>
      </c>
      <c r="G400" t="e">
        <f>IF(OR(#REF!="UP",#REF!="DOWN"),1,0)</f>
        <v>#REF!</v>
      </c>
      <c r="H400" t="e">
        <f>IF(OR(#REF!="UP",#REF!="DOWN"),1,0)</f>
        <v>#REF!</v>
      </c>
      <c r="I400" t="e">
        <f>IF(OR(#REF!="UP",#REF!="DOWN"),1,0)</f>
        <v>#REF!</v>
      </c>
      <c r="M400" t="e">
        <f>IF(OR(#REF!="UP",#REF!="DOWN"),0,1)</f>
        <v>#REF!</v>
      </c>
      <c r="N400" t="e">
        <f>IF(OR(#REF!="UP",#REF!="DOWN"),VLOOKUP($C400,Configuración!$H$2:$K$11,3),1)</f>
        <v>#REF!</v>
      </c>
      <c r="O400" t="e">
        <f>IF(OR(#REF!="UP",#REF!="DOWN"),VLOOKUP($C400,Configuración!$H$2:$K$11,4),1)</f>
        <v>#REF!</v>
      </c>
      <c r="P400" t="e">
        <f t="shared" si="63"/>
        <v>#REF!</v>
      </c>
      <c r="Q400" t="e">
        <f t="shared" si="64"/>
        <v>#REF!</v>
      </c>
      <c r="R400" t="e">
        <f t="shared" si="62"/>
        <v>#REF!</v>
      </c>
      <c r="T400" t="e">
        <f>IF(R400&lt;&gt;0,Configuración!$E$2,0)</f>
        <v>#REF!</v>
      </c>
      <c r="U400" t="e">
        <f>IF(R400&lt;&gt;0,Configuración!$F$2,0)</f>
        <v>#REF!</v>
      </c>
      <c r="V400" t="e">
        <f>IF(R400&lt;&gt;0,Configuración!$G$2,0)</f>
        <v>#REF!</v>
      </c>
      <c r="W400" t="e">
        <f t="shared" si="65"/>
        <v>#REF!</v>
      </c>
      <c r="X400" t="e">
        <f t="shared" si="66"/>
        <v>#REF!</v>
      </c>
      <c r="Z400" t="e">
        <f t="shared" si="67"/>
        <v>#REF!</v>
      </c>
      <c r="AB400" t="e">
        <f t="shared" si="68"/>
        <v>#REF!</v>
      </c>
      <c r="AG400" t="e">
        <f t="shared" si="69"/>
        <v>#REF!</v>
      </c>
      <c r="AH400" s="5" t="e">
        <f t="shared" si="70"/>
        <v>#REF!</v>
      </c>
      <c r="AI400" t="e">
        <f t="shared" si="71"/>
        <v>#REF!</v>
      </c>
    </row>
    <row r="401" spans="4:35" x14ac:dyDescent="0.55000000000000004">
      <c r="D401" t="e">
        <f>IF(COUNTIF(#REF!,"&lt;&gt;NAN")=0, 0, IF(AND(OR(#REF!=#REF!,#REF!="NAN"), OR(#REF!=#REF!,#REF!="NAN"), OR(#REF!=#REF!,#REF!="NAN")),#REF!, 0))</f>
        <v>#REF!</v>
      </c>
      <c r="E401" t="e">
        <f>IF(#REF!="NAN","",IF(
   AND(OR(#REF!=#REF!,#REF!="NAN"),
     OR(#REF!=#REF!,#REF!="NAN"),
     OR(#REF!=#REF!,#REF!="NAN")),
   1,
   0))</f>
        <v>#REF!</v>
      </c>
      <c r="G401" t="e">
        <f>IF(OR(#REF!="UP",#REF!="DOWN"),1,0)</f>
        <v>#REF!</v>
      </c>
      <c r="H401" t="e">
        <f>IF(OR(#REF!="UP",#REF!="DOWN"),1,0)</f>
        <v>#REF!</v>
      </c>
      <c r="I401" t="e">
        <f>IF(OR(#REF!="UP",#REF!="DOWN"),1,0)</f>
        <v>#REF!</v>
      </c>
      <c r="M401" t="e">
        <f>IF(OR(#REF!="UP",#REF!="DOWN"),0,1)</f>
        <v>#REF!</v>
      </c>
      <c r="N401" t="e">
        <f>IF(OR(#REF!="UP",#REF!="DOWN"),VLOOKUP($C401,Configuración!$H$2:$K$11,3),1)</f>
        <v>#REF!</v>
      </c>
      <c r="O401" t="e">
        <f>IF(OR(#REF!="UP",#REF!="DOWN"),VLOOKUP($C401,Configuración!$H$2:$K$11,4),1)</f>
        <v>#REF!</v>
      </c>
      <c r="P401" t="e">
        <f t="shared" si="63"/>
        <v>#REF!</v>
      </c>
      <c r="Q401" t="e">
        <f t="shared" si="64"/>
        <v>#REF!</v>
      </c>
      <c r="R401" t="e">
        <f t="shared" si="62"/>
        <v>#REF!</v>
      </c>
      <c r="T401" t="e">
        <f>IF(R401&lt;&gt;0,Configuración!$E$2,0)</f>
        <v>#REF!</v>
      </c>
      <c r="U401" t="e">
        <f>IF(R401&lt;&gt;0,Configuración!$F$2,0)</f>
        <v>#REF!</v>
      </c>
      <c r="V401" t="e">
        <f>IF(R401&lt;&gt;0,Configuración!$G$2,0)</f>
        <v>#REF!</v>
      </c>
      <c r="W401" t="e">
        <f t="shared" si="65"/>
        <v>#REF!</v>
      </c>
      <c r="X401" t="e">
        <f t="shared" si="66"/>
        <v>#REF!</v>
      </c>
      <c r="Z401" t="e">
        <f t="shared" si="67"/>
        <v>#REF!</v>
      </c>
      <c r="AB401" t="e">
        <f t="shared" si="68"/>
        <v>#REF!</v>
      </c>
      <c r="AG401" t="e">
        <f t="shared" si="69"/>
        <v>#REF!</v>
      </c>
      <c r="AH401" s="5" t="e">
        <f t="shared" si="70"/>
        <v>#REF!</v>
      </c>
      <c r="AI401" t="e">
        <f t="shared" si="71"/>
        <v>#REF!</v>
      </c>
    </row>
    <row r="402" spans="4:35" x14ac:dyDescent="0.55000000000000004">
      <c r="D402" t="e">
        <f>IF(COUNTIF(#REF!,"&lt;&gt;NAN")=0, 0, IF(AND(OR(#REF!=#REF!,#REF!="NAN"), OR(#REF!=#REF!,#REF!="NAN"), OR(#REF!=#REF!,#REF!="NAN")),#REF!, 0))</f>
        <v>#REF!</v>
      </c>
      <c r="E402" t="e">
        <f>IF(#REF!="NAN","",IF(
   AND(OR(#REF!=#REF!,#REF!="NAN"),
     OR(#REF!=#REF!,#REF!="NAN"),
     OR(#REF!=#REF!,#REF!="NAN")),
   1,
   0))</f>
        <v>#REF!</v>
      </c>
      <c r="G402" t="e">
        <f>IF(OR(#REF!="UP",#REF!="DOWN"),1,0)</f>
        <v>#REF!</v>
      </c>
      <c r="H402" t="e">
        <f>IF(OR(#REF!="UP",#REF!="DOWN"),1,0)</f>
        <v>#REF!</v>
      </c>
      <c r="I402" t="e">
        <f>IF(OR(#REF!="UP",#REF!="DOWN"),1,0)</f>
        <v>#REF!</v>
      </c>
      <c r="M402" t="e">
        <f>IF(OR(#REF!="UP",#REF!="DOWN"),0,1)</f>
        <v>#REF!</v>
      </c>
      <c r="N402" t="e">
        <f>IF(OR(#REF!="UP",#REF!="DOWN"),VLOOKUP($C402,Configuración!$H$2:$K$11,3),1)</f>
        <v>#REF!</v>
      </c>
      <c r="O402" t="e">
        <f>IF(OR(#REF!="UP",#REF!="DOWN"),VLOOKUP($C402,Configuración!$H$2:$K$11,4),1)</f>
        <v>#REF!</v>
      </c>
      <c r="P402" t="e">
        <f t="shared" si="63"/>
        <v>#REF!</v>
      </c>
      <c r="Q402" t="e">
        <f t="shared" si="64"/>
        <v>#REF!</v>
      </c>
      <c r="R402" t="e">
        <f t="shared" si="62"/>
        <v>#REF!</v>
      </c>
      <c r="T402" t="e">
        <f>IF(R402&lt;&gt;0,Configuración!$E$2,0)</f>
        <v>#REF!</v>
      </c>
      <c r="U402" t="e">
        <f>IF(R402&lt;&gt;0,Configuración!$F$2,0)</f>
        <v>#REF!</v>
      </c>
      <c r="V402" t="e">
        <f>IF(R402&lt;&gt;0,Configuración!$G$2,0)</f>
        <v>#REF!</v>
      </c>
      <c r="W402" t="e">
        <f t="shared" si="65"/>
        <v>#REF!</v>
      </c>
      <c r="X402" t="e">
        <f t="shared" si="66"/>
        <v>#REF!</v>
      </c>
      <c r="Z402" t="e">
        <f t="shared" si="67"/>
        <v>#REF!</v>
      </c>
      <c r="AB402" t="e">
        <f t="shared" si="68"/>
        <v>#REF!</v>
      </c>
      <c r="AG402" t="e">
        <f t="shared" si="69"/>
        <v>#REF!</v>
      </c>
      <c r="AH402" s="5" t="e">
        <f t="shared" si="70"/>
        <v>#REF!</v>
      </c>
      <c r="AI402" t="e">
        <f t="shared" si="71"/>
        <v>#REF!</v>
      </c>
    </row>
    <row r="403" spans="4:35" x14ac:dyDescent="0.55000000000000004">
      <c r="D403" t="e">
        <f>IF(COUNTIF(#REF!,"&lt;&gt;NAN")=0, 0, IF(AND(OR(#REF!=#REF!,#REF!="NAN"), OR(#REF!=#REF!,#REF!="NAN"), OR(#REF!=#REF!,#REF!="NAN")),#REF!, 0))</f>
        <v>#REF!</v>
      </c>
      <c r="E403" t="e">
        <f>IF(#REF!="NAN","",IF(
   AND(OR(#REF!=#REF!,#REF!="NAN"),
     OR(#REF!=#REF!,#REF!="NAN"),
     OR(#REF!=#REF!,#REF!="NAN")),
   1,
   0))</f>
        <v>#REF!</v>
      </c>
      <c r="G403" t="e">
        <f>IF(OR(#REF!="UP",#REF!="DOWN"),1,0)</f>
        <v>#REF!</v>
      </c>
      <c r="H403" t="e">
        <f>IF(OR(#REF!="UP",#REF!="DOWN"),1,0)</f>
        <v>#REF!</v>
      </c>
      <c r="I403" t="e">
        <f>IF(OR(#REF!="UP",#REF!="DOWN"),1,0)</f>
        <v>#REF!</v>
      </c>
      <c r="M403" t="e">
        <f>IF(OR(#REF!="UP",#REF!="DOWN"),0,1)</f>
        <v>#REF!</v>
      </c>
      <c r="N403" t="e">
        <f>IF(OR(#REF!="UP",#REF!="DOWN"),VLOOKUP($C403,Configuración!$H$2:$K$11,3),1)</f>
        <v>#REF!</v>
      </c>
      <c r="O403" t="e">
        <f>IF(OR(#REF!="UP",#REF!="DOWN"),VLOOKUP($C403,Configuración!$H$2:$K$11,4),1)</f>
        <v>#REF!</v>
      </c>
      <c r="P403" t="e">
        <f t="shared" si="63"/>
        <v>#REF!</v>
      </c>
      <c r="Q403" t="e">
        <f t="shared" si="64"/>
        <v>#REF!</v>
      </c>
      <c r="R403" t="e">
        <f t="shared" si="62"/>
        <v>#REF!</v>
      </c>
      <c r="T403" t="e">
        <f>IF(R403&lt;&gt;0,Configuración!$E$2,0)</f>
        <v>#REF!</v>
      </c>
      <c r="U403" t="e">
        <f>IF(R403&lt;&gt;0,Configuración!$F$2,0)</f>
        <v>#REF!</v>
      </c>
      <c r="V403" t="e">
        <f>IF(R403&lt;&gt;0,Configuración!$G$2,0)</f>
        <v>#REF!</v>
      </c>
      <c r="W403" t="e">
        <f t="shared" si="65"/>
        <v>#REF!</v>
      </c>
      <c r="X403" t="e">
        <f t="shared" si="66"/>
        <v>#REF!</v>
      </c>
      <c r="Z403" t="e">
        <f t="shared" si="67"/>
        <v>#REF!</v>
      </c>
      <c r="AB403" t="e">
        <f t="shared" si="68"/>
        <v>#REF!</v>
      </c>
      <c r="AG403" t="e">
        <f t="shared" si="69"/>
        <v>#REF!</v>
      </c>
      <c r="AH403" s="5" t="e">
        <f t="shared" si="70"/>
        <v>#REF!</v>
      </c>
      <c r="AI403" t="e">
        <f t="shared" si="71"/>
        <v>#REF!</v>
      </c>
    </row>
    <row r="404" spans="4:35" x14ac:dyDescent="0.55000000000000004">
      <c r="D404" t="e">
        <f>IF(COUNTIF(#REF!,"&lt;&gt;NAN")=0, 0, IF(AND(OR(#REF!=#REF!,#REF!="NAN"), OR(#REF!=#REF!,#REF!="NAN"), OR(#REF!=#REF!,#REF!="NAN")),#REF!, 0))</f>
        <v>#REF!</v>
      </c>
      <c r="E404" t="e">
        <f>IF(#REF!="NAN","",IF(
   AND(OR(#REF!=#REF!,#REF!="NAN"),
     OR(#REF!=#REF!,#REF!="NAN"),
     OR(#REF!=#REF!,#REF!="NAN")),
   1,
   0))</f>
        <v>#REF!</v>
      </c>
      <c r="G404" t="e">
        <f>IF(OR(#REF!="UP",#REF!="DOWN"),1,0)</f>
        <v>#REF!</v>
      </c>
      <c r="H404" t="e">
        <f>IF(OR(#REF!="UP",#REF!="DOWN"),1,0)</f>
        <v>#REF!</v>
      </c>
      <c r="I404" t="e">
        <f>IF(OR(#REF!="UP",#REF!="DOWN"),1,0)</f>
        <v>#REF!</v>
      </c>
      <c r="M404" t="e">
        <f>IF(OR(#REF!="UP",#REF!="DOWN"),0,1)</f>
        <v>#REF!</v>
      </c>
      <c r="N404" t="e">
        <f>IF(OR(#REF!="UP",#REF!="DOWN"),VLOOKUP($C404,Configuración!$H$2:$K$11,3),1)</f>
        <v>#REF!</v>
      </c>
      <c r="O404" t="e">
        <f>IF(OR(#REF!="UP",#REF!="DOWN"),VLOOKUP($C404,Configuración!$H$2:$K$11,4),1)</f>
        <v>#REF!</v>
      </c>
      <c r="P404" t="e">
        <f t="shared" si="63"/>
        <v>#REF!</v>
      </c>
      <c r="Q404" t="e">
        <f t="shared" si="64"/>
        <v>#REF!</v>
      </c>
      <c r="R404" t="e">
        <f t="shared" si="62"/>
        <v>#REF!</v>
      </c>
      <c r="T404" t="e">
        <f>IF(R404&lt;&gt;0,Configuración!$E$2,0)</f>
        <v>#REF!</v>
      </c>
      <c r="U404" t="e">
        <f>IF(R404&lt;&gt;0,Configuración!$F$2,0)</f>
        <v>#REF!</v>
      </c>
      <c r="V404" t="e">
        <f>IF(R404&lt;&gt;0,Configuración!$G$2,0)</f>
        <v>#REF!</v>
      </c>
      <c r="W404" t="e">
        <f t="shared" si="65"/>
        <v>#REF!</v>
      </c>
      <c r="X404" t="e">
        <f t="shared" si="66"/>
        <v>#REF!</v>
      </c>
      <c r="Z404" t="e">
        <f t="shared" si="67"/>
        <v>#REF!</v>
      </c>
      <c r="AB404" t="e">
        <f t="shared" si="68"/>
        <v>#REF!</v>
      </c>
      <c r="AG404" t="e">
        <f t="shared" si="69"/>
        <v>#REF!</v>
      </c>
      <c r="AH404" s="5" t="e">
        <f t="shared" si="70"/>
        <v>#REF!</v>
      </c>
      <c r="AI404" t="e">
        <f t="shared" si="71"/>
        <v>#REF!</v>
      </c>
    </row>
    <row r="405" spans="4:35" x14ac:dyDescent="0.55000000000000004">
      <c r="D405" t="e">
        <f>IF(COUNTIF(#REF!,"&lt;&gt;NAN")=0, 0, IF(AND(OR(#REF!=#REF!,#REF!="NAN"), OR(#REF!=#REF!,#REF!="NAN"), OR(#REF!=#REF!,#REF!="NAN")),#REF!, 0))</f>
        <v>#REF!</v>
      </c>
      <c r="E405" t="e">
        <f>IF(#REF!="NAN","",IF(
   AND(OR(#REF!=#REF!,#REF!="NAN"),
     OR(#REF!=#REF!,#REF!="NAN"),
     OR(#REF!=#REF!,#REF!="NAN")),
   1,
   0))</f>
        <v>#REF!</v>
      </c>
      <c r="G405" t="e">
        <f>IF(OR(#REF!="UP",#REF!="DOWN"),1,0)</f>
        <v>#REF!</v>
      </c>
      <c r="H405" t="e">
        <f>IF(OR(#REF!="UP",#REF!="DOWN"),1,0)</f>
        <v>#REF!</v>
      </c>
      <c r="I405" t="e">
        <f>IF(OR(#REF!="UP",#REF!="DOWN"),1,0)</f>
        <v>#REF!</v>
      </c>
      <c r="M405" t="e">
        <f>IF(OR(#REF!="UP",#REF!="DOWN"),0,1)</f>
        <v>#REF!</v>
      </c>
      <c r="N405" t="e">
        <f>IF(OR(#REF!="UP",#REF!="DOWN"),VLOOKUP($C405,Configuración!$H$2:$K$11,3),1)</f>
        <v>#REF!</v>
      </c>
      <c r="O405" t="e">
        <f>IF(OR(#REF!="UP",#REF!="DOWN"),VLOOKUP($C405,Configuración!$H$2:$K$11,4),1)</f>
        <v>#REF!</v>
      </c>
      <c r="P405" t="e">
        <f t="shared" si="63"/>
        <v>#REF!</v>
      </c>
      <c r="Q405" t="e">
        <f t="shared" si="64"/>
        <v>#REF!</v>
      </c>
      <c r="R405" t="e">
        <f t="shared" si="62"/>
        <v>#REF!</v>
      </c>
      <c r="T405" t="e">
        <f>IF(R405&lt;&gt;0,Configuración!$E$2,0)</f>
        <v>#REF!</v>
      </c>
      <c r="U405" t="e">
        <f>IF(R405&lt;&gt;0,Configuración!$F$2,0)</f>
        <v>#REF!</v>
      </c>
      <c r="V405" t="e">
        <f>IF(R405&lt;&gt;0,Configuración!$G$2,0)</f>
        <v>#REF!</v>
      </c>
      <c r="W405" t="e">
        <f t="shared" si="65"/>
        <v>#REF!</v>
      </c>
      <c r="X405" t="e">
        <f t="shared" si="66"/>
        <v>#REF!</v>
      </c>
      <c r="Z405" t="e">
        <f t="shared" si="67"/>
        <v>#REF!</v>
      </c>
      <c r="AB405" t="e">
        <f t="shared" si="68"/>
        <v>#REF!</v>
      </c>
      <c r="AG405" t="e">
        <f t="shared" si="69"/>
        <v>#REF!</v>
      </c>
      <c r="AH405" s="5" t="e">
        <f t="shared" si="70"/>
        <v>#REF!</v>
      </c>
      <c r="AI405" t="e">
        <f t="shared" si="71"/>
        <v>#REF!</v>
      </c>
    </row>
    <row r="406" spans="4:35" x14ac:dyDescent="0.55000000000000004">
      <c r="D406" t="e">
        <f>IF(COUNTIF(#REF!,"&lt;&gt;NAN")=0, 0, IF(AND(OR(#REF!=#REF!,#REF!="NAN"), OR(#REF!=#REF!,#REF!="NAN"), OR(#REF!=#REF!,#REF!="NAN")),#REF!, 0))</f>
        <v>#REF!</v>
      </c>
      <c r="E406" t="e">
        <f>IF(#REF!="NAN","",IF(
   AND(OR(#REF!=#REF!,#REF!="NAN"),
     OR(#REF!=#REF!,#REF!="NAN"),
     OR(#REF!=#REF!,#REF!="NAN")),
   1,
   0))</f>
        <v>#REF!</v>
      </c>
      <c r="G406" t="e">
        <f>IF(OR(#REF!="UP",#REF!="DOWN"),1,0)</f>
        <v>#REF!</v>
      </c>
      <c r="H406" t="e">
        <f>IF(OR(#REF!="UP",#REF!="DOWN"),1,0)</f>
        <v>#REF!</v>
      </c>
      <c r="I406" t="e">
        <f>IF(OR(#REF!="UP",#REF!="DOWN"),1,0)</f>
        <v>#REF!</v>
      </c>
      <c r="M406" t="e">
        <f>IF(OR(#REF!="UP",#REF!="DOWN"),0,1)</f>
        <v>#REF!</v>
      </c>
      <c r="N406" t="e">
        <f>IF(OR(#REF!="UP",#REF!="DOWN"),VLOOKUP($C406,Configuración!$H$2:$K$11,3),1)</f>
        <v>#REF!</v>
      </c>
      <c r="O406" t="e">
        <f>IF(OR(#REF!="UP",#REF!="DOWN"),VLOOKUP($C406,Configuración!$H$2:$K$11,4),1)</f>
        <v>#REF!</v>
      </c>
      <c r="P406" t="e">
        <f t="shared" si="63"/>
        <v>#REF!</v>
      </c>
      <c r="Q406" t="e">
        <f t="shared" si="64"/>
        <v>#REF!</v>
      </c>
      <c r="R406" t="e">
        <f t="shared" si="62"/>
        <v>#REF!</v>
      </c>
      <c r="T406" t="e">
        <f>IF(R406&lt;&gt;0,Configuración!$E$2,0)</f>
        <v>#REF!</v>
      </c>
      <c r="U406" t="e">
        <f>IF(R406&lt;&gt;0,Configuración!$F$2,0)</f>
        <v>#REF!</v>
      </c>
      <c r="V406" t="e">
        <f>IF(R406&lt;&gt;0,Configuración!$G$2,0)</f>
        <v>#REF!</v>
      </c>
      <c r="W406" t="e">
        <f t="shared" si="65"/>
        <v>#REF!</v>
      </c>
      <c r="X406" t="e">
        <f t="shared" si="66"/>
        <v>#REF!</v>
      </c>
      <c r="Z406" t="e">
        <f t="shared" si="67"/>
        <v>#REF!</v>
      </c>
      <c r="AB406" t="e">
        <f t="shared" si="68"/>
        <v>#REF!</v>
      </c>
      <c r="AG406" t="e">
        <f t="shared" si="69"/>
        <v>#REF!</v>
      </c>
      <c r="AH406" s="5" t="e">
        <f t="shared" si="70"/>
        <v>#REF!</v>
      </c>
      <c r="AI406" t="e">
        <f t="shared" si="71"/>
        <v>#REF!</v>
      </c>
    </row>
    <row r="407" spans="4:35" x14ac:dyDescent="0.55000000000000004">
      <c r="D407" t="e">
        <f>IF(COUNTIF(#REF!,"&lt;&gt;NAN")=0, 0, IF(AND(OR(#REF!=#REF!,#REF!="NAN"), OR(#REF!=#REF!,#REF!="NAN"), OR(#REF!=#REF!,#REF!="NAN")),#REF!, 0))</f>
        <v>#REF!</v>
      </c>
      <c r="E407" t="e">
        <f>IF(#REF!="NAN","",IF(
   AND(OR(#REF!=#REF!,#REF!="NAN"),
     OR(#REF!=#REF!,#REF!="NAN"),
     OR(#REF!=#REF!,#REF!="NAN")),
   1,
   0))</f>
        <v>#REF!</v>
      </c>
      <c r="G407" t="e">
        <f>IF(OR(#REF!="UP",#REF!="DOWN"),1,0)</f>
        <v>#REF!</v>
      </c>
      <c r="H407" t="e">
        <f>IF(OR(#REF!="UP",#REF!="DOWN"),1,0)</f>
        <v>#REF!</v>
      </c>
      <c r="I407" t="e">
        <f>IF(OR(#REF!="UP",#REF!="DOWN"),1,0)</f>
        <v>#REF!</v>
      </c>
      <c r="M407" t="e">
        <f>IF(OR(#REF!="UP",#REF!="DOWN"),0,1)</f>
        <v>#REF!</v>
      </c>
      <c r="N407" t="e">
        <f>IF(OR(#REF!="UP",#REF!="DOWN"),VLOOKUP($C407,Configuración!$H$2:$K$11,3),1)</f>
        <v>#REF!</v>
      </c>
      <c r="O407" t="e">
        <f>IF(OR(#REF!="UP",#REF!="DOWN"),VLOOKUP($C407,Configuración!$H$2:$K$11,4),1)</f>
        <v>#REF!</v>
      </c>
      <c r="P407" t="e">
        <f t="shared" si="63"/>
        <v>#REF!</v>
      </c>
      <c r="Q407" t="e">
        <f t="shared" si="64"/>
        <v>#REF!</v>
      </c>
      <c r="R407" t="e">
        <f t="shared" si="62"/>
        <v>#REF!</v>
      </c>
      <c r="T407" t="e">
        <f>IF(R407&lt;&gt;0,Configuración!$E$2,0)</f>
        <v>#REF!</v>
      </c>
      <c r="U407" t="e">
        <f>IF(R407&lt;&gt;0,Configuración!$F$2,0)</f>
        <v>#REF!</v>
      </c>
      <c r="V407" t="e">
        <f>IF(R407&lt;&gt;0,Configuración!$G$2,0)</f>
        <v>#REF!</v>
      </c>
      <c r="W407" t="e">
        <f t="shared" si="65"/>
        <v>#REF!</v>
      </c>
      <c r="X407" t="e">
        <f t="shared" si="66"/>
        <v>#REF!</v>
      </c>
      <c r="Z407" t="e">
        <f t="shared" si="67"/>
        <v>#REF!</v>
      </c>
      <c r="AB407" t="e">
        <f t="shared" si="68"/>
        <v>#REF!</v>
      </c>
      <c r="AG407" t="e">
        <f t="shared" si="69"/>
        <v>#REF!</v>
      </c>
      <c r="AH407" s="5" t="e">
        <f t="shared" si="70"/>
        <v>#REF!</v>
      </c>
      <c r="AI407" t="e">
        <f t="shared" si="71"/>
        <v>#REF!</v>
      </c>
    </row>
    <row r="408" spans="4:35" x14ac:dyDescent="0.55000000000000004">
      <c r="D408" t="e">
        <f>IF(COUNTIF(#REF!,"&lt;&gt;NAN")=0, 0, IF(AND(OR(#REF!=#REF!,#REF!="NAN"), OR(#REF!=#REF!,#REF!="NAN"), OR(#REF!=#REF!,#REF!="NAN")),#REF!, 0))</f>
        <v>#REF!</v>
      </c>
      <c r="E408" t="e">
        <f>IF(#REF!="NAN","",IF(
   AND(OR(#REF!=#REF!,#REF!="NAN"),
     OR(#REF!=#REF!,#REF!="NAN"),
     OR(#REF!=#REF!,#REF!="NAN")),
   1,
   0))</f>
        <v>#REF!</v>
      </c>
      <c r="G408" t="e">
        <f>IF(OR(#REF!="UP",#REF!="DOWN"),1,0)</f>
        <v>#REF!</v>
      </c>
      <c r="H408" t="e">
        <f>IF(OR(#REF!="UP",#REF!="DOWN"),1,0)</f>
        <v>#REF!</v>
      </c>
      <c r="I408" t="e">
        <f>IF(OR(#REF!="UP",#REF!="DOWN"),1,0)</f>
        <v>#REF!</v>
      </c>
      <c r="M408" t="e">
        <f>IF(OR(#REF!="UP",#REF!="DOWN"),0,1)</f>
        <v>#REF!</v>
      </c>
      <c r="N408" t="e">
        <f>IF(OR(#REF!="UP",#REF!="DOWN"),VLOOKUP($C408,Configuración!$H$2:$K$11,3),1)</f>
        <v>#REF!</v>
      </c>
      <c r="O408" t="e">
        <f>IF(OR(#REF!="UP",#REF!="DOWN"),VLOOKUP($C408,Configuración!$H$2:$K$11,4),1)</f>
        <v>#REF!</v>
      </c>
      <c r="P408" t="e">
        <f t="shared" si="63"/>
        <v>#REF!</v>
      </c>
      <c r="Q408" t="e">
        <f t="shared" si="64"/>
        <v>#REF!</v>
      </c>
      <c r="R408" t="e">
        <f t="shared" si="62"/>
        <v>#REF!</v>
      </c>
      <c r="T408" t="e">
        <f>IF(R408&lt;&gt;0,Configuración!$E$2,0)</f>
        <v>#REF!</v>
      </c>
      <c r="U408" t="e">
        <f>IF(R408&lt;&gt;0,Configuración!$F$2,0)</f>
        <v>#REF!</v>
      </c>
      <c r="V408" t="e">
        <f>IF(R408&lt;&gt;0,Configuración!$G$2,0)</f>
        <v>#REF!</v>
      </c>
      <c r="W408" t="e">
        <f t="shared" si="65"/>
        <v>#REF!</v>
      </c>
      <c r="X408" t="e">
        <f t="shared" si="66"/>
        <v>#REF!</v>
      </c>
      <c r="Z408" t="e">
        <f t="shared" si="67"/>
        <v>#REF!</v>
      </c>
      <c r="AB408" t="e">
        <f t="shared" si="68"/>
        <v>#REF!</v>
      </c>
      <c r="AG408" t="e">
        <f t="shared" si="69"/>
        <v>#REF!</v>
      </c>
      <c r="AH408" s="5" t="e">
        <f t="shared" si="70"/>
        <v>#REF!</v>
      </c>
      <c r="AI408" t="e">
        <f t="shared" si="71"/>
        <v>#REF!</v>
      </c>
    </row>
    <row r="409" spans="4:35" x14ac:dyDescent="0.55000000000000004">
      <c r="D409" t="e">
        <f>IF(COUNTIF(#REF!,"&lt;&gt;NAN")=0, 0, IF(AND(OR(#REF!=#REF!,#REF!="NAN"), OR(#REF!=#REF!,#REF!="NAN"), OR(#REF!=#REF!,#REF!="NAN")),#REF!, 0))</f>
        <v>#REF!</v>
      </c>
      <c r="E409" t="e">
        <f>IF(#REF!="NAN","",IF(
   AND(OR(#REF!=#REF!,#REF!="NAN"),
     OR(#REF!=#REF!,#REF!="NAN"),
     OR(#REF!=#REF!,#REF!="NAN")),
   1,
   0))</f>
        <v>#REF!</v>
      </c>
      <c r="G409" t="e">
        <f>IF(OR(#REF!="UP",#REF!="DOWN"),1,0)</f>
        <v>#REF!</v>
      </c>
      <c r="H409" t="e">
        <f>IF(OR(#REF!="UP",#REF!="DOWN"),1,0)</f>
        <v>#REF!</v>
      </c>
      <c r="I409" t="e">
        <f>IF(OR(#REF!="UP",#REF!="DOWN"),1,0)</f>
        <v>#REF!</v>
      </c>
      <c r="M409" t="e">
        <f>IF(OR(#REF!="UP",#REF!="DOWN"),0,1)</f>
        <v>#REF!</v>
      </c>
      <c r="N409" t="e">
        <f>IF(OR(#REF!="UP",#REF!="DOWN"),VLOOKUP($C409,Configuración!$H$2:$K$11,3),1)</f>
        <v>#REF!</v>
      </c>
      <c r="O409" t="e">
        <f>IF(OR(#REF!="UP",#REF!="DOWN"),VLOOKUP($C409,Configuración!$H$2:$K$11,4),1)</f>
        <v>#REF!</v>
      </c>
      <c r="P409" t="e">
        <f t="shared" si="63"/>
        <v>#REF!</v>
      </c>
      <c r="Q409" t="e">
        <f t="shared" si="64"/>
        <v>#REF!</v>
      </c>
      <c r="R409" t="e">
        <f t="shared" si="62"/>
        <v>#REF!</v>
      </c>
      <c r="T409" t="e">
        <f>IF(R409&lt;&gt;0,Configuración!$E$2,0)</f>
        <v>#REF!</v>
      </c>
      <c r="U409" t="e">
        <f>IF(R409&lt;&gt;0,Configuración!$F$2,0)</f>
        <v>#REF!</v>
      </c>
      <c r="V409" t="e">
        <f>IF(R409&lt;&gt;0,Configuración!$G$2,0)</f>
        <v>#REF!</v>
      </c>
      <c r="W409" t="e">
        <f t="shared" si="65"/>
        <v>#REF!</v>
      </c>
      <c r="X409" t="e">
        <f t="shared" si="66"/>
        <v>#REF!</v>
      </c>
      <c r="Z409" t="e">
        <f t="shared" si="67"/>
        <v>#REF!</v>
      </c>
      <c r="AB409" t="e">
        <f t="shared" si="68"/>
        <v>#REF!</v>
      </c>
      <c r="AG409" t="e">
        <f t="shared" si="69"/>
        <v>#REF!</v>
      </c>
      <c r="AH409" s="5" t="e">
        <f t="shared" si="70"/>
        <v>#REF!</v>
      </c>
      <c r="AI409" t="e">
        <f t="shared" si="71"/>
        <v>#REF!</v>
      </c>
    </row>
    <row r="410" spans="4:35" x14ac:dyDescent="0.55000000000000004">
      <c r="D410" t="e">
        <f>IF(COUNTIF(#REF!,"&lt;&gt;NAN")=0, 0, IF(AND(OR(#REF!=#REF!,#REF!="NAN"), OR(#REF!=#REF!,#REF!="NAN"), OR(#REF!=#REF!,#REF!="NAN")),#REF!, 0))</f>
        <v>#REF!</v>
      </c>
      <c r="E410" t="e">
        <f>IF(#REF!="NAN","",IF(
   AND(OR(#REF!=#REF!,#REF!="NAN"),
     OR(#REF!=#REF!,#REF!="NAN"),
     OR(#REF!=#REF!,#REF!="NAN")),
   1,
   0))</f>
        <v>#REF!</v>
      </c>
      <c r="G410" t="e">
        <f>IF(OR(#REF!="UP",#REF!="DOWN"),1,0)</f>
        <v>#REF!</v>
      </c>
      <c r="H410" t="e">
        <f>IF(OR(#REF!="UP",#REF!="DOWN"),1,0)</f>
        <v>#REF!</v>
      </c>
      <c r="I410" t="e">
        <f>IF(OR(#REF!="UP",#REF!="DOWN"),1,0)</f>
        <v>#REF!</v>
      </c>
      <c r="M410" t="e">
        <f>IF(OR(#REF!="UP",#REF!="DOWN"),0,1)</f>
        <v>#REF!</v>
      </c>
      <c r="N410" t="e">
        <f>IF(OR(#REF!="UP",#REF!="DOWN"),VLOOKUP($C410,Configuración!$H$2:$K$11,3),1)</f>
        <v>#REF!</v>
      </c>
      <c r="O410" t="e">
        <f>IF(OR(#REF!="UP",#REF!="DOWN"),VLOOKUP($C410,Configuración!$H$2:$K$11,4),1)</f>
        <v>#REF!</v>
      </c>
      <c r="P410" t="e">
        <f t="shared" si="63"/>
        <v>#REF!</v>
      </c>
      <c r="Q410" t="e">
        <f t="shared" si="64"/>
        <v>#REF!</v>
      </c>
      <c r="R410" t="e">
        <f t="shared" si="62"/>
        <v>#REF!</v>
      </c>
      <c r="T410" t="e">
        <f>IF(R410&lt;&gt;0,Configuración!$E$2,0)</f>
        <v>#REF!</v>
      </c>
      <c r="U410" t="e">
        <f>IF(R410&lt;&gt;0,Configuración!$F$2,0)</f>
        <v>#REF!</v>
      </c>
      <c r="V410" t="e">
        <f>IF(R410&lt;&gt;0,Configuración!$G$2,0)</f>
        <v>#REF!</v>
      </c>
      <c r="W410" t="e">
        <f t="shared" si="65"/>
        <v>#REF!</v>
      </c>
      <c r="X410" t="e">
        <f t="shared" si="66"/>
        <v>#REF!</v>
      </c>
      <c r="Z410" t="e">
        <f t="shared" si="67"/>
        <v>#REF!</v>
      </c>
      <c r="AB410" t="e">
        <f t="shared" si="68"/>
        <v>#REF!</v>
      </c>
      <c r="AG410" t="e">
        <f t="shared" si="69"/>
        <v>#REF!</v>
      </c>
      <c r="AH410" s="5" t="e">
        <f t="shared" si="70"/>
        <v>#REF!</v>
      </c>
      <c r="AI410" t="e">
        <f t="shared" si="71"/>
        <v>#REF!</v>
      </c>
    </row>
    <row r="411" spans="4:35" x14ac:dyDescent="0.55000000000000004">
      <c r="D411" t="e">
        <f>IF(COUNTIF(#REF!,"&lt;&gt;NAN")=0, 0, IF(AND(OR(#REF!=#REF!,#REF!="NAN"), OR(#REF!=#REF!,#REF!="NAN"), OR(#REF!=#REF!,#REF!="NAN")),#REF!, 0))</f>
        <v>#REF!</v>
      </c>
      <c r="E411" t="e">
        <f>IF(#REF!="NAN","",IF(
   AND(OR(#REF!=#REF!,#REF!="NAN"),
     OR(#REF!=#REF!,#REF!="NAN"),
     OR(#REF!=#REF!,#REF!="NAN")),
   1,
   0))</f>
        <v>#REF!</v>
      </c>
      <c r="G411" t="e">
        <f>IF(OR(#REF!="UP",#REF!="DOWN"),1,0)</f>
        <v>#REF!</v>
      </c>
      <c r="H411" t="e">
        <f>IF(OR(#REF!="UP",#REF!="DOWN"),1,0)</f>
        <v>#REF!</v>
      </c>
      <c r="I411" t="e">
        <f>IF(OR(#REF!="UP",#REF!="DOWN"),1,0)</f>
        <v>#REF!</v>
      </c>
      <c r="M411" t="e">
        <f>IF(OR(#REF!="UP",#REF!="DOWN"),0,1)</f>
        <v>#REF!</v>
      </c>
      <c r="N411" t="e">
        <f>IF(OR(#REF!="UP",#REF!="DOWN"),VLOOKUP($C411,Configuración!$H$2:$K$11,3),1)</f>
        <v>#REF!</v>
      </c>
      <c r="O411" t="e">
        <f>IF(OR(#REF!="UP",#REF!="DOWN"),VLOOKUP($C411,Configuración!$H$2:$K$11,4),1)</f>
        <v>#REF!</v>
      </c>
      <c r="P411" t="e">
        <f t="shared" si="63"/>
        <v>#REF!</v>
      </c>
      <c r="Q411" t="e">
        <f t="shared" si="64"/>
        <v>#REF!</v>
      </c>
      <c r="R411" t="e">
        <f t="shared" si="62"/>
        <v>#REF!</v>
      </c>
      <c r="T411" t="e">
        <f>IF(R411&lt;&gt;0,Configuración!$E$2,0)</f>
        <v>#REF!</v>
      </c>
      <c r="U411" t="e">
        <f>IF(R411&lt;&gt;0,Configuración!$F$2,0)</f>
        <v>#REF!</v>
      </c>
      <c r="V411" t="e">
        <f>IF(R411&lt;&gt;0,Configuración!$G$2,0)</f>
        <v>#REF!</v>
      </c>
      <c r="W411" t="e">
        <f t="shared" si="65"/>
        <v>#REF!</v>
      </c>
      <c r="X411" t="e">
        <f t="shared" si="66"/>
        <v>#REF!</v>
      </c>
      <c r="Z411" t="e">
        <f t="shared" si="67"/>
        <v>#REF!</v>
      </c>
      <c r="AB411" t="e">
        <f t="shared" si="68"/>
        <v>#REF!</v>
      </c>
      <c r="AG411" t="e">
        <f t="shared" si="69"/>
        <v>#REF!</v>
      </c>
      <c r="AH411" s="5" t="e">
        <f t="shared" si="70"/>
        <v>#REF!</v>
      </c>
      <c r="AI411" t="e">
        <f t="shared" si="71"/>
        <v>#REF!</v>
      </c>
    </row>
    <row r="412" spans="4:35" x14ac:dyDescent="0.55000000000000004">
      <c r="D412" t="e">
        <f>IF(COUNTIF(#REF!,"&lt;&gt;NAN")=0, 0, IF(AND(OR(#REF!=#REF!,#REF!="NAN"), OR(#REF!=#REF!,#REF!="NAN"), OR(#REF!=#REF!,#REF!="NAN")),#REF!, 0))</f>
        <v>#REF!</v>
      </c>
      <c r="E412" t="e">
        <f>IF(#REF!="NAN","",IF(
   AND(OR(#REF!=#REF!,#REF!="NAN"),
     OR(#REF!=#REF!,#REF!="NAN"),
     OR(#REF!=#REF!,#REF!="NAN")),
   1,
   0))</f>
        <v>#REF!</v>
      </c>
      <c r="G412" t="e">
        <f>IF(OR(#REF!="UP",#REF!="DOWN"),1,0)</f>
        <v>#REF!</v>
      </c>
      <c r="H412" t="e">
        <f>IF(OR(#REF!="UP",#REF!="DOWN"),1,0)</f>
        <v>#REF!</v>
      </c>
      <c r="I412" t="e">
        <f>IF(OR(#REF!="UP",#REF!="DOWN"),1,0)</f>
        <v>#REF!</v>
      </c>
      <c r="M412" t="e">
        <f>IF(OR(#REF!="UP",#REF!="DOWN"),0,1)</f>
        <v>#REF!</v>
      </c>
      <c r="N412" t="e">
        <f>IF(OR(#REF!="UP",#REF!="DOWN"),VLOOKUP($C412,Configuración!$H$2:$K$11,3),1)</f>
        <v>#REF!</v>
      </c>
      <c r="O412" t="e">
        <f>IF(OR(#REF!="UP",#REF!="DOWN"),VLOOKUP($C412,Configuración!$H$2:$K$11,4),1)</f>
        <v>#REF!</v>
      </c>
      <c r="P412" t="e">
        <f t="shared" si="63"/>
        <v>#REF!</v>
      </c>
      <c r="Q412" t="e">
        <f t="shared" si="64"/>
        <v>#REF!</v>
      </c>
      <c r="R412" t="e">
        <f t="shared" si="62"/>
        <v>#REF!</v>
      </c>
      <c r="T412" t="e">
        <f>IF(R412&lt;&gt;0,Configuración!$E$2,0)</f>
        <v>#REF!</v>
      </c>
      <c r="U412" t="e">
        <f>IF(R412&lt;&gt;0,Configuración!$F$2,0)</f>
        <v>#REF!</v>
      </c>
      <c r="V412" t="e">
        <f>IF(R412&lt;&gt;0,Configuración!$G$2,0)</f>
        <v>#REF!</v>
      </c>
      <c r="W412" t="e">
        <f t="shared" si="65"/>
        <v>#REF!</v>
      </c>
      <c r="X412" t="e">
        <f t="shared" si="66"/>
        <v>#REF!</v>
      </c>
      <c r="Z412" t="e">
        <f t="shared" si="67"/>
        <v>#REF!</v>
      </c>
      <c r="AB412" t="e">
        <f t="shared" si="68"/>
        <v>#REF!</v>
      </c>
      <c r="AG412" t="e">
        <f t="shared" si="69"/>
        <v>#REF!</v>
      </c>
      <c r="AH412" s="5" t="e">
        <f t="shared" si="70"/>
        <v>#REF!</v>
      </c>
      <c r="AI412" t="e">
        <f t="shared" si="71"/>
        <v>#REF!</v>
      </c>
    </row>
    <row r="413" spans="4:35" x14ac:dyDescent="0.55000000000000004">
      <c r="D413" t="e">
        <f>IF(COUNTIF(#REF!,"&lt;&gt;NAN")=0, 0, IF(AND(OR(#REF!=#REF!,#REF!="NAN"), OR(#REF!=#REF!,#REF!="NAN"), OR(#REF!=#REF!,#REF!="NAN")),#REF!, 0))</f>
        <v>#REF!</v>
      </c>
      <c r="E413" t="e">
        <f>IF(#REF!="NAN","",IF(
   AND(OR(#REF!=#REF!,#REF!="NAN"),
     OR(#REF!=#REF!,#REF!="NAN"),
     OR(#REF!=#REF!,#REF!="NAN")),
   1,
   0))</f>
        <v>#REF!</v>
      </c>
      <c r="G413" t="e">
        <f>IF(OR(#REF!="UP",#REF!="DOWN"),1,0)</f>
        <v>#REF!</v>
      </c>
      <c r="H413" t="e">
        <f>IF(OR(#REF!="UP",#REF!="DOWN"),1,0)</f>
        <v>#REF!</v>
      </c>
      <c r="I413" t="e">
        <f>IF(OR(#REF!="UP",#REF!="DOWN"),1,0)</f>
        <v>#REF!</v>
      </c>
      <c r="M413" t="e">
        <f>IF(OR(#REF!="UP",#REF!="DOWN"),0,1)</f>
        <v>#REF!</v>
      </c>
      <c r="N413" t="e">
        <f>IF(OR(#REF!="UP",#REF!="DOWN"),VLOOKUP($C413,Configuración!$H$2:$K$11,3),1)</f>
        <v>#REF!</v>
      </c>
      <c r="O413" t="e">
        <f>IF(OR(#REF!="UP",#REF!="DOWN"),VLOOKUP($C413,Configuración!$H$2:$K$11,4),1)</f>
        <v>#REF!</v>
      </c>
      <c r="P413" t="e">
        <f t="shared" si="63"/>
        <v>#REF!</v>
      </c>
      <c r="Q413" t="e">
        <f t="shared" si="64"/>
        <v>#REF!</v>
      </c>
      <c r="R413" t="e">
        <f t="shared" si="62"/>
        <v>#REF!</v>
      </c>
      <c r="T413" t="e">
        <f>IF(R413&lt;&gt;0,Configuración!$E$2,0)</f>
        <v>#REF!</v>
      </c>
      <c r="U413" t="e">
        <f>IF(R413&lt;&gt;0,Configuración!$F$2,0)</f>
        <v>#REF!</v>
      </c>
      <c r="V413" t="e">
        <f>IF(R413&lt;&gt;0,Configuración!$G$2,0)</f>
        <v>#REF!</v>
      </c>
      <c r="W413" t="e">
        <f t="shared" si="65"/>
        <v>#REF!</v>
      </c>
      <c r="X413" t="e">
        <f t="shared" si="66"/>
        <v>#REF!</v>
      </c>
      <c r="Z413" t="e">
        <f t="shared" si="67"/>
        <v>#REF!</v>
      </c>
      <c r="AB413" t="e">
        <f t="shared" si="68"/>
        <v>#REF!</v>
      </c>
      <c r="AG413" t="e">
        <f t="shared" si="69"/>
        <v>#REF!</v>
      </c>
      <c r="AH413" s="5" t="e">
        <f t="shared" si="70"/>
        <v>#REF!</v>
      </c>
      <c r="AI413" t="e">
        <f t="shared" si="71"/>
        <v>#REF!</v>
      </c>
    </row>
    <row r="414" spans="4:35" x14ac:dyDescent="0.55000000000000004">
      <c r="D414" t="e">
        <f>IF(COUNTIF(#REF!,"&lt;&gt;NAN")=0, 0, IF(AND(OR(#REF!=#REF!,#REF!="NAN"), OR(#REF!=#REF!,#REF!="NAN"), OR(#REF!=#REF!,#REF!="NAN")),#REF!, 0))</f>
        <v>#REF!</v>
      </c>
      <c r="E414" t="e">
        <f>IF(#REF!="NAN","",IF(
   AND(OR(#REF!=#REF!,#REF!="NAN"),
     OR(#REF!=#REF!,#REF!="NAN"),
     OR(#REF!=#REF!,#REF!="NAN")),
   1,
   0))</f>
        <v>#REF!</v>
      </c>
      <c r="G414" t="e">
        <f>IF(OR(#REF!="UP",#REF!="DOWN"),1,0)</f>
        <v>#REF!</v>
      </c>
      <c r="H414" t="e">
        <f>IF(OR(#REF!="UP",#REF!="DOWN"),1,0)</f>
        <v>#REF!</v>
      </c>
      <c r="I414" t="e">
        <f>IF(OR(#REF!="UP",#REF!="DOWN"),1,0)</f>
        <v>#REF!</v>
      </c>
      <c r="M414" t="e">
        <f>IF(OR(#REF!="UP",#REF!="DOWN"),0,1)</f>
        <v>#REF!</v>
      </c>
      <c r="N414" t="e">
        <f>IF(OR(#REF!="UP",#REF!="DOWN"),VLOOKUP($C414,Configuración!$H$2:$K$11,3),1)</f>
        <v>#REF!</v>
      </c>
      <c r="O414" t="e">
        <f>IF(OR(#REF!="UP",#REF!="DOWN"),VLOOKUP($C414,Configuración!$H$2:$K$11,4),1)</f>
        <v>#REF!</v>
      </c>
      <c r="P414" t="e">
        <f t="shared" si="63"/>
        <v>#REF!</v>
      </c>
      <c r="Q414" t="e">
        <f t="shared" si="64"/>
        <v>#REF!</v>
      </c>
      <c r="R414" t="e">
        <f t="shared" si="62"/>
        <v>#REF!</v>
      </c>
      <c r="T414" t="e">
        <f>IF(R414&lt;&gt;0,Configuración!$E$2,0)</f>
        <v>#REF!</v>
      </c>
      <c r="U414" t="e">
        <f>IF(R414&lt;&gt;0,Configuración!$F$2,0)</f>
        <v>#REF!</v>
      </c>
      <c r="V414" t="e">
        <f>IF(R414&lt;&gt;0,Configuración!$G$2,0)</f>
        <v>#REF!</v>
      </c>
      <c r="W414" t="e">
        <f t="shared" si="65"/>
        <v>#REF!</v>
      </c>
      <c r="X414" t="e">
        <f t="shared" si="66"/>
        <v>#REF!</v>
      </c>
      <c r="Z414" t="e">
        <f t="shared" si="67"/>
        <v>#REF!</v>
      </c>
      <c r="AB414" t="e">
        <f t="shared" si="68"/>
        <v>#REF!</v>
      </c>
      <c r="AG414" t="e">
        <f t="shared" si="69"/>
        <v>#REF!</v>
      </c>
      <c r="AH414" s="5" t="e">
        <f t="shared" si="70"/>
        <v>#REF!</v>
      </c>
      <c r="AI414" t="e">
        <f t="shared" si="71"/>
        <v>#REF!</v>
      </c>
    </row>
    <row r="415" spans="4:35" x14ac:dyDescent="0.55000000000000004">
      <c r="D415" t="e">
        <f>IF(COUNTIF(#REF!,"&lt;&gt;NAN")=0, 0, IF(AND(OR(#REF!=#REF!,#REF!="NAN"), OR(#REF!=#REF!,#REF!="NAN"), OR(#REF!=#REF!,#REF!="NAN")),#REF!, 0))</f>
        <v>#REF!</v>
      </c>
      <c r="E415" t="e">
        <f>IF(#REF!="NAN","",IF(
   AND(OR(#REF!=#REF!,#REF!="NAN"),
     OR(#REF!=#REF!,#REF!="NAN"),
     OR(#REF!=#REF!,#REF!="NAN")),
   1,
   0))</f>
        <v>#REF!</v>
      </c>
      <c r="G415" t="e">
        <f>IF(OR(#REF!="UP",#REF!="DOWN"),1,0)</f>
        <v>#REF!</v>
      </c>
      <c r="H415" t="e">
        <f>IF(OR(#REF!="UP",#REF!="DOWN"),1,0)</f>
        <v>#REF!</v>
      </c>
      <c r="I415" t="e">
        <f>IF(OR(#REF!="UP",#REF!="DOWN"),1,0)</f>
        <v>#REF!</v>
      </c>
      <c r="M415" t="e">
        <f>IF(OR(#REF!="UP",#REF!="DOWN"),0,1)</f>
        <v>#REF!</v>
      </c>
      <c r="N415" t="e">
        <f>IF(OR(#REF!="UP",#REF!="DOWN"),VLOOKUP($C415,Configuración!$H$2:$K$11,3),1)</f>
        <v>#REF!</v>
      </c>
      <c r="O415" t="e">
        <f>IF(OR(#REF!="UP",#REF!="DOWN"),VLOOKUP($C415,Configuración!$H$2:$K$11,4),1)</f>
        <v>#REF!</v>
      </c>
      <c r="P415" t="e">
        <f t="shared" si="63"/>
        <v>#REF!</v>
      </c>
      <c r="Q415" t="e">
        <f t="shared" si="64"/>
        <v>#REF!</v>
      </c>
      <c r="R415" t="e">
        <f t="shared" si="62"/>
        <v>#REF!</v>
      </c>
      <c r="T415" t="e">
        <f>IF(R415&lt;&gt;0,Configuración!$E$2,0)</f>
        <v>#REF!</v>
      </c>
      <c r="U415" t="e">
        <f>IF(R415&lt;&gt;0,Configuración!$F$2,0)</f>
        <v>#REF!</v>
      </c>
      <c r="V415" t="e">
        <f>IF(R415&lt;&gt;0,Configuración!$G$2,0)</f>
        <v>#REF!</v>
      </c>
      <c r="W415" t="e">
        <f t="shared" si="65"/>
        <v>#REF!</v>
      </c>
      <c r="X415" t="e">
        <f t="shared" si="66"/>
        <v>#REF!</v>
      </c>
      <c r="Z415" t="e">
        <f t="shared" si="67"/>
        <v>#REF!</v>
      </c>
      <c r="AB415" t="e">
        <f t="shared" si="68"/>
        <v>#REF!</v>
      </c>
      <c r="AG415" t="e">
        <f t="shared" si="69"/>
        <v>#REF!</v>
      </c>
      <c r="AH415" s="5" t="e">
        <f t="shared" si="70"/>
        <v>#REF!</v>
      </c>
      <c r="AI415" t="e">
        <f t="shared" si="71"/>
        <v>#REF!</v>
      </c>
    </row>
    <row r="416" spans="4:35" x14ac:dyDescent="0.55000000000000004">
      <c r="D416" t="e">
        <f>IF(COUNTIF(#REF!,"&lt;&gt;NAN")=0, 0, IF(AND(OR(#REF!=#REF!,#REF!="NAN"), OR(#REF!=#REF!,#REF!="NAN"), OR(#REF!=#REF!,#REF!="NAN")),#REF!, 0))</f>
        <v>#REF!</v>
      </c>
      <c r="E416" t="e">
        <f>IF(#REF!="NAN","",IF(
   AND(OR(#REF!=#REF!,#REF!="NAN"),
     OR(#REF!=#REF!,#REF!="NAN"),
     OR(#REF!=#REF!,#REF!="NAN")),
   1,
   0))</f>
        <v>#REF!</v>
      </c>
      <c r="G416" t="e">
        <f>IF(OR(#REF!="UP",#REF!="DOWN"),1,0)</f>
        <v>#REF!</v>
      </c>
      <c r="H416" t="e">
        <f>IF(OR(#REF!="UP",#REF!="DOWN"),1,0)</f>
        <v>#REF!</v>
      </c>
      <c r="I416" t="e">
        <f>IF(OR(#REF!="UP",#REF!="DOWN"),1,0)</f>
        <v>#REF!</v>
      </c>
      <c r="M416" t="e">
        <f>IF(OR(#REF!="UP",#REF!="DOWN"),0,1)</f>
        <v>#REF!</v>
      </c>
      <c r="N416" t="e">
        <f>IF(OR(#REF!="UP",#REF!="DOWN"),VLOOKUP($C416,Configuración!$H$2:$K$11,3),1)</f>
        <v>#REF!</v>
      </c>
      <c r="O416" t="e">
        <f>IF(OR(#REF!="UP",#REF!="DOWN"),VLOOKUP($C416,Configuración!$H$2:$K$11,4),1)</f>
        <v>#REF!</v>
      </c>
      <c r="P416" t="e">
        <f t="shared" si="63"/>
        <v>#REF!</v>
      </c>
      <c r="Q416" t="e">
        <f t="shared" si="64"/>
        <v>#REF!</v>
      </c>
      <c r="R416" t="e">
        <f t="shared" si="62"/>
        <v>#REF!</v>
      </c>
      <c r="T416" t="e">
        <f>IF(R416&lt;&gt;0,Configuración!$E$2,0)</f>
        <v>#REF!</v>
      </c>
      <c r="U416" t="e">
        <f>IF(R416&lt;&gt;0,Configuración!$F$2,0)</f>
        <v>#REF!</v>
      </c>
      <c r="V416" t="e">
        <f>IF(R416&lt;&gt;0,Configuración!$G$2,0)</f>
        <v>#REF!</v>
      </c>
      <c r="W416" t="e">
        <f t="shared" si="65"/>
        <v>#REF!</v>
      </c>
      <c r="X416" t="e">
        <f t="shared" si="66"/>
        <v>#REF!</v>
      </c>
      <c r="Z416" t="e">
        <f t="shared" si="67"/>
        <v>#REF!</v>
      </c>
      <c r="AB416" t="e">
        <f t="shared" si="68"/>
        <v>#REF!</v>
      </c>
      <c r="AG416" t="e">
        <f t="shared" si="69"/>
        <v>#REF!</v>
      </c>
      <c r="AH416" s="5" t="e">
        <f t="shared" si="70"/>
        <v>#REF!</v>
      </c>
      <c r="AI416" t="e">
        <f t="shared" si="71"/>
        <v>#REF!</v>
      </c>
    </row>
    <row r="417" spans="4:35" x14ac:dyDescent="0.55000000000000004">
      <c r="D417" t="e">
        <f>IF(COUNTIF(#REF!,"&lt;&gt;NAN")=0, 0, IF(AND(OR(#REF!=#REF!,#REF!="NAN"), OR(#REF!=#REF!,#REF!="NAN"), OR(#REF!=#REF!,#REF!="NAN")),#REF!, 0))</f>
        <v>#REF!</v>
      </c>
      <c r="E417" t="e">
        <f>IF(#REF!="NAN","",IF(
   AND(OR(#REF!=#REF!,#REF!="NAN"),
     OR(#REF!=#REF!,#REF!="NAN"),
     OR(#REF!=#REF!,#REF!="NAN")),
   1,
   0))</f>
        <v>#REF!</v>
      </c>
      <c r="G417" t="e">
        <f>IF(OR(#REF!="UP",#REF!="DOWN"),1,0)</f>
        <v>#REF!</v>
      </c>
      <c r="H417" t="e">
        <f>IF(OR(#REF!="UP",#REF!="DOWN"),1,0)</f>
        <v>#REF!</v>
      </c>
      <c r="I417" t="e">
        <f>IF(OR(#REF!="UP",#REF!="DOWN"),1,0)</f>
        <v>#REF!</v>
      </c>
      <c r="M417" t="e">
        <f>IF(OR(#REF!="UP",#REF!="DOWN"),0,1)</f>
        <v>#REF!</v>
      </c>
      <c r="N417" t="e">
        <f>IF(OR(#REF!="UP",#REF!="DOWN"),VLOOKUP($C417,Configuración!$H$2:$K$11,3),1)</f>
        <v>#REF!</v>
      </c>
      <c r="O417" t="e">
        <f>IF(OR(#REF!="UP",#REF!="DOWN"),VLOOKUP($C417,Configuración!$H$2:$K$11,4),1)</f>
        <v>#REF!</v>
      </c>
      <c r="P417" t="e">
        <f t="shared" si="63"/>
        <v>#REF!</v>
      </c>
      <c r="Q417" t="e">
        <f t="shared" si="64"/>
        <v>#REF!</v>
      </c>
      <c r="R417" t="e">
        <f t="shared" si="62"/>
        <v>#REF!</v>
      </c>
      <c r="T417" t="e">
        <f>IF(R417&lt;&gt;0,Configuración!$E$2,0)</f>
        <v>#REF!</v>
      </c>
      <c r="U417" t="e">
        <f>IF(R417&lt;&gt;0,Configuración!$F$2,0)</f>
        <v>#REF!</v>
      </c>
      <c r="V417" t="e">
        <f>IF(R417&lt;&gt;0,Configuración!$G$2,0)</f>
        <v>#REF!</v>
      </c>
      <c r="W417" t="e">
        <f t="shared" si="65"/>
        <v>#REF!</v>
      </c>
      <c r="X417" t="e">
        <f t="shared" si="66"/>
        <v>#REF!</v>
      </c>
      <c r="Z417" t="e">
        <f t="shared" si="67"/>
        <v>#REF!</v>
      </c>
      <c r="AB417" t="e">
        <f t="shared" si="68"/>
        <v>#REF!</v>
      </c>
      <c r="AG417" t="e">
        <f t="shared" si="69"/>
        <v>#REF!</v>
      </c>
      <c r="AH417" s="5" t="e">
        <f t="shared" si="70"/>
        <v>#REF!</v>
      </c>
      <c r="AI417" t="e">
        <f t="shared" si="71"/>
        <v>#REF!</v>
      </c>
    </row>
    <row r="418" spans="4:35" x14ac:dyDescent="0.55000000000000004">
      <c r="D418" t="e">
        <f>IF(COUNTIF(#REF!,"&lt;&gt;NAN")=0, 0, IF(AND(OR(#REF!=#REF!,#REF!="NAN"), OR(#REF!=#REF!,#REF!="NAN"), OR(#REF!=#REF!,#REF!="NAN")),#REF!, 0))</f>
        <v>#REF!</v>
      </c>
      <c r="E418" t="e">
        <f>IF(#REF!="NAN","",IF(
   AND(OR(#REF!=#REF!,#REF!="NAN"),
     OR(#REF!=#REF!,#REF!="NAN"),
     OR(#REF!=#REF!,#REF!="NAN")),
   1,
   0))</f>
        <v>#REF!</v>
      </c>
      <c r="G418" t="e">
        <f>IF(OR(#REF!="UP",#REF!="DOWN"),1,0)</f>
        <v>#REF!</v>
      </c>
      <c r="H418" t="e">
        <f>IF(OR(#REF!="UP",#REF!="DOWN"),1,0)</f>
        <v>#REF!</v>
      </c>
      <c r="I418" t="e">
        <f>IF(OR(#REF!="UP",#REF!="DOWN"),1,0)</f>
        <v>#REF!</v>
      </c>
      <c r="M418" t="e">
        <f>IF(OR(#REF!="UP",#REF!="DOWN"),0,1)</f>
        <v>#REF!</v>
      </c>
      <c r="N418" t="e">
        <f>IF(OR(#REF!="UP",#REF!="DOWN"),VLOOKUP($C418,Configuración!$H$2:$K$11,3),1)</f>
        <v>#REF!</v>
      </c>
      <c r="O418" t="e">
        <f>IF(OR(#REF!="UP",#REF!="DOWN"),VLOOKUP($C418,Configuración!$H$2:$K$11,4),1)</f>
        <v>#REF!</v>
      </c>
      <c r="P418" t="e">
        <f t="shared" si="63"/>
        <v>#REF!</v>
      </c>
      <c r="Q418" t="e">
        <f t="shared" si="64"/>
        <v>#REF!</v>
      </c>
      <c r="R418" t="e">
        <f t="shared" si="62"/>
        <v>#REF!</v>
      </c>
      <c r="T418" t="e">
        <f>IF(R418&lt;&gt;0,Configuración!$E$2,0)</f>
        <v>#REF!</v>
      </c>
      <c r="U418" t="e">
        <f>IF(R418&lt;&gt;0,Configuración!$F$2,0)</f>
        <v>#REF!</v>
      </c>
      <c r="V418" t="e">
        <f>IF(R418&lt;&gt;0,Configuración!$G$2,0)</f>
        <v>#REF!</v>
      </c>
      <c r="W418" t="e">
        <f t="shared" si="65"/>
        <v>#REF!</v>
      </c>
      <c r="X418" t="e">
        <f t="shared" si="66"/>
        <v>#REF!</v>
      </c>
      <c r="Z418" t="e">
        <f t="shared" si="67"/>
        <v>#REF!</v>
      </c>
      <c r="AB418" t="e">
        <f t="shared" si="68"/>
        <v>#REF!</v>
      </c>
      <c r="AG418" t="e">
        <f t="shared" si="69"/>
        <v>#REF!</v>
      </c>
      <c r="AH418" s="5" t="e">
        <f t="shared" si="70"/>
        <v>#REF!</v>
      </c>
      <c r="AI418" t="e">
        <f t="shared" si="71"/>
        <v>#REF!</v>
      </c>
    </row>
    <row r="419" spans="4:35" x14ac:dyDescent="0.55000000000000004">
      <c r="D419" t="e">
        <f>IF(COUNTIF(#REF!,"&lt;&gt;NAN")=0, 0, IF(AND(OR(#REF!=#REF!,#REF!="NAN"), OR(#REF!=#REF!,#REF!="NAN"), OR(#REF!=#REF!,#REF!="NAN")),#REF!, 0))</f>
        <v>#REF!</v>
      </c>
      <c r="E419" t="e">
        <f>IF(#REF!="NAN","",IF(
   AND(OR(#REF!=#REF!,#REF!="NAN"),
     OR(#REF!=#REF!,#REF!="NAN"),
     OR(#REF!=#REF!,#REF!="NAN")),
   1,
   0))</f>
        <v>#REF!</v>
      </c>
      <c r="G419" t="e">
        <f>IF(OR(#REF!="UP",#REF!="DOWN"),1,0)</f>
        <v>#REF!</v>
      </c>
      <c r="H419" t="e">
        <f>IF(OR(#REF!="UP",#REF!="DOWN"),1,0)</f>
        <v>#REF!</v>
      </c>
      <c r="I419" t="e">
        <f>IF(OR(#REF!="UP",#REF!="DOWN"),1,0)</f>
        <v>#REF!</v>
      </c>
      <c r="M419" t="e">
        <f>IF(OR(#REF!="UP",#REF!="DOWN"),0,1)</f>
        <v>#REF!</v>
      </c>
      <c r="N419" t="e">
        <f>IF(OR(#REF!="UP",#REF!="DOWN"),VLOOKUP($C419,Configuración!$H$2:$K$11,3),1)</f>
        <v>#REF!</v>
      </c>
      <c r="O419" t="e">
        <f>IF(OR(#REF!="UP",#REF!="DOWN"),VLOOKUP($C419,Configuración!$H$2:$K$11,4),1)</f>
        <v>#REF!</v>
      </c>
      <c r="P419" t="e">
        <f t="shared" si="63"/>
        <v>#REF!</v>
      </c>
      <c r="Q419" t="e">
        <f t="shared" si="64"/>
        <v>#REF!</v>
      </c>
      <c r="R419" t="e">
        <f t="shared" si="62"/>
        <v>#REF!</v>
      </c>
      <c r="T419" t="e">
        <f>IF(R419&lt;&gt;0,Configuración!$E$2,0)</f>
        <v>#REF!</v>
      </c>
      <c r="U419" t="e">
        <f>IF(R419&lt;&gt;0,Configuración!$F$2,0)</f>
        <v>#REF!</v>
      </c>
      <c r="V419" t="e">
        <f>IF(R419&lt;&gt;0,Configuración!$G$2,0)</f>
        <v>#REF!</v>
      </c>
      <c r="W419" t="e">
        <f t="shared" si="65"/>
        <v>#REF!</v>
      </c>
      <c r="X419" t="e">
        <f t="shared" si="66"/>
        <v>#REF!</v>
      </c>
      <c r="Z419" t="e">
        <f t="shared" si="67"/>
        <v>#REF!</v>
      </c>
      <c r="AB419" t="e">
        <f t="shared" si="68"/>
        <v>#REF!</v>
      </c>
      <c r="AG419" t="e">
        <f t="shared" si="69"/>
        <v>#REF!</v>
      </c>
      <c r="AH419" s="5" t="e">
        <f t="shared" si="70"/>
        <v>#REF!</v>
      </c>
      <c r="AI419" t="e">
        <f t="shared" si="71"/>
        <v>#REF!</v>
      </c>
    </row>
    <row r="420" spans="4:35" x14ac:dyDescent="0.55000000000000004">
      <c r="D420" t="e">
        <f>IF(COUNTIF(#REF!,"&lt;&gt;NAN")=0, 0, IF(AND(OR(#REF!=#REF!,#REF!="NAN"), OR(#REF!=#REF!,#REF!="NAN"), OR(#REF!=#REF!,#REF!="NAN")),#REF!, 0))</f>
        <v>#REF!</v>
      </c>
      <c r="E420" t="e">
        <f>IF(#REF!="NAN","",IF(
   AND(OR(#REF!=#REF!,#REF!="NAN"),
     OR(#REF!=#REF!,#REF!="NAN"),
     OR(#REF!=#REF!,#REF!="NAN")),
   1,
   0))</f>
        <v>#REF!</v>
      </c>
      <c r="G420" t="e">
        <f>IF(OR(#REF!="UP",#REF!="DOWN"),1,0)</f>
        <v>#REF!</v>
      </c>
      <c r="H420" t="e">
        <f>IF(OR(#REF!="UP",#REF!="DOWN"),1,0)</f>
        <v>#REF!</v>
      </c>
      <c r="I420" t="e">
        <f>IF(OR(#REF!="UP",#REF!="DOWN"),1,0)</f>
        <v>#REF!</v>
      </c>
      <c r="M420" t="e">
        <f>IF(OR(#REF!="UP",#REF!="DOWN"),0,1)</f>
        <v>#REF!</v>
      </c>
      <c r="N420" t="e">
        <f>IF(OR(#REF!="UP",#REF!="DOWN"),VLOOKUP($C420,Configuración!$H$2:$K$11,3),1)</f>
        <v>#REF!</v>
      </c>
      <c r="O420" t="e">
        <f>IF(OR(#REF!="UP",#REF!="DOWN"),VLOOKUP($C420,Configuración!$H$2:$K$11,4),1)</f>
        <v>#REF!</v>
      </c>
      <c r="P420" t="e">
        <f t="shared" si="63"/>
        <v>#REF!</v>
      </c>
      <c r="Q420" t="e">
        <f t="shared" si="64"/>
        <v>#REF!</v>
      </c>
      <c r="R420" t="e">
        <f t="shared" si="62"/>
        <v>#REF!</v>
      </c>
      <c r="T420" t="e">
        <f>IF(R420&lt;&gt;0,Configuración!$E$2,0)</f>
        <v>#REF!</v>
      </c>
      <c r="U420" t="e">
        <f>IF(R420&lt;&gt;0,Configuración!$F$2,0)</f>
        <v>#REF!</v>
      </c>
      <c r="V420" t="e">
        <f>IF(R420&lt;&gt;0,Configuración!$G$2,0)</f>
        <v>#REF!</v>
      </c>
      <c r="W420" t="e">
        <f t="shared" si="65"/>
        <v>#REF!</v>
      </c>
      <c r="X420" t="e">
        <f t="shared" si="66"/>
        <v>#REF!</v>
      </c>
      <c r="Z420" t="e">
        <f t="shared" si="67"/>
        <v>#REF!</v>
      </c>
      <c r="AB420" t="e">
        <f t="shared" si="68"/>
        <v>#REF!</v>
      </c>
      <c r="AG420" t="e">
        <f t="shared" si="69"/>
        <v>#REF!</v>
      </c>
      <c r="AH420" s="5" t="e">
        <f t="shared" si="70"/>
        <v>#REF!</v>
      </c>
      <c r="AI420" t="e">
        <f t="shared" si="71"/>
        <v>#REF!</v>
      </c>
    </row>
    <row r="421" spans="4:35" x14ac:dyDescent="0.55000000000000004">
      <c r="D421" t="e">
        <f>IF(COUNTIF(#REF!,"&lt;&gt;NAN")=0, 0, IF(AND(OR(#REF!=#REF!,#REF!="NAN"), OR(#REF!=#REF!,#REF!="NAN"), OR(#REF!=#REF!,#REF!="NAN")),#REF!, 0))</f>
        <v>#REF!</v>
      </c>
      <c r="E421" t="e">
        <f>IF(#REF!="NAN","",IF(
   AND(OR(#REF!=#REF!,#REF!="NAN"),
     OR(#REF!=#REF!,#REF!="NAN"),
     OR(#REF!=#REF!,#REF!="NAN")),
   1,
   0))</f>
        <v>#REF!</v>
      </c>
      <c r="G421" t="e">
        <f>IF(OR(#REF!="UP",#REF!="DOWN"),1,0)</f>
        <v>#REF!</v>
      </c>
      <c r="H421" t="e">
        <f>IF(OR(#REF!="UP",#REF!="DOWN"),1,0)</f>
        <v>#REF!</v>
      </c>
      <c r="I421" t="e">
        <f>IF(OR(#REF!="UP",#REF!="DOWN"),1,0)</f>
        <v>#REF!</v>
      </c>
      <c r="M421" t="e">
        <f>IF(OR(#REF!="UP",#REF!="DOWN"),0,1)</f>
        <v>#REF!</v>
      </c>
      <c r="N421" t="e">
        <f>IF(OR(#REF!="UP",#REF!="DOWN"),VLOOKUP($C421,Configuración!$H$2:$K$11,3),1)</f>
        <v>#REF!</v>
      </c>
      <c r="O421" t="e">
        <f>IF(OR(#REF!="UP",#REF!="DOWN"),VLOOKUP($C421,Configuración!$H$2:$K$11,4),1)</f>
        <v>#REF!</v>
      </c>
      <c r="P421" t="e">
        <f t="shared" si="63"/>
        <v>#REF!</v>
      </c>
      <c r="Q421" t="e">
        <f t="shared" si="64"/>
        <v>#REF!</v>
      </c>
      <c r="R421" t="e">
        <f t="shared" si="62"/>
        <v>#REF!</v>
      </c>
      <c r="T421" t="e">
        <f>IF(R421&lt;&gt;0,Configuración!$E$2,0)</f>
        <v>#REF!</v>
      </c>
      <c r="U421" t="e">
        <f>IF(R421&lt;&gt;0,Configuración!$F$2,0)</f>
        <v>#REF!</v>
      </c>
      <c r="V421" t="e">
        <f>IF(R421&lt;&gt;0,Configuración!$G$2,0)</f>
        <v>#REF!</v>
      </c>
      <c r="W421" t="e">
        <f t="shared" si="65"/>
        <v>#REF!</v>
      </c>
      <c r="X421" t="e">
        <f t="shared" si="66"/>
        <v>#REF!</v>
      </c>
      <c r="Z421" t="e">
        <f t="shared" si="67"/>
        <v>#REF!</v>
      </c>
      <c r="AB421" t="e">
        <f t="shared" si="68"/>
        <v>#REF!</v>
      </c>
      <c r="AG421" t="e">
        <f t="shared" si="69"/>
        <v>#REF!</v>
      </c>
      <c r="AH421" s="5" t="e">
        <f t="shared" si="70"/>
        <v>#REF!</v>
      </c>
      <c r="AI421" t="e">
        <f t="shared" si="71"/>
        <v>#REF!</v>
      </c>
    </row>
    <row r="422" spans="4:35" x14ac:dyDescent="0.55000000000000004">
      <c r="D422" t="e">
        <f>IF(COUNTIF(#REF!,"&lt;&gt;NAN")=0, 0, IF(AND(OR(#REF!=#REF!,#REF!="NAN"), OR(#REF!=#REF!,#REF!="NAN"), OR(#REF!=#REF!,#REF!="NAN")),#REF!, 0))</f>
        <v>#REF!</v>
      </c>
      <c r="E422" t="e">
        <f>IF(#REF!="NAN","",IF(
   AND(OR(#REF!=#REF!,#REF!="NAN"),
     OR(#REF!=#REF!,#REF!="NAN"),
     OR(#REF!=#REF!,#REF!="NAN")),
   1,
   0))</f>
        <v>#REF!</v>
      </c>
      <c r="G422" t="e">
        <f>IF(OR(#REF!="UP",#REF!="DOWN"),1,0)</f>
        <v>#REF!</v>
      </c>
      <c r="H422" t="e">
        <f>IF(OR(#REF!="UP",#REF!="DOWN"),1,0)</f>
        <v>#REF!</v>
      </c>
      <c r="I422" t="e">
        <f>IF(OR(#REF!="UP",#REF!="DOWN"),1,0)</f>
        <v>#REF!</v>
      </c>
      <c r="M422" t="e">
        <f>IF(OR(#REF!="UP",#REF!="DOWN"),0,1)</f>
        <v>#REF!</v>
      </c>
      <c r="N422" t="e">
        <f>IF(OR(#REF!="UP",#REF!="DOWN"),VLOOKUP($C422,Configuración!$H$2:$K$11,3),1)</f>
        <v>#REF!</v>
      </c>
      <c r="O422" t="e">
        <f>IF(OR(#REF!="UP",#REF!="DOWN"),VLOOKUP($C422,Configuración!$H$2:$K$11,4),1)</f>
        <v>#REF!</v>
      </c>
      <c r="P422" t="e">
        <f t="shared" si="63"/>
        <v>#REF!</v>
      </c>
      <c r="Q422" t="e">
        <f t="shared" si="64"/>
        <v>#REF!</v>
      </c>
      <c r="R422" t="e">
        <f t="shared" si="62"/>
        <v>#REF!</v>
      </c>
      <c r="T422" t="e">
        <f>IF(R422&lt;&gt;0,Configuración!$E$2,0)</f>
        <v>#REF!</v>
      </c>
      <c r="U422" t="e">
        <f>IF(R422&lt;&gt;0,Configuración!$F$2,0)</f>
        <v>#REF!</v>
      </c>
      <c r="V422" t="e">
        <f>IF(R422&lt;&gt;0,Configuración!$G$2,0)</f>
        <v>#REF!</v>
      </c>
      <c r="W422" t="e">
        <f t="shared" si="65"/>
        <v>#REF!</v>
      </c>
      <c r="X422" t="e">
        <f t="shared" si="66"/>
        <v>#REF!</v>
      </c>
      <c r="Z422" t="e">
        <f t="shared" si="67"/>
        <v>#REF!</v>
      </c>
      <c r="AB422" t="e">
        <f t="shared" si="68"/>
        <v>#REF!</v>
      </c>
      <c r="AG422" t="e">
        <f t="shared" si="69"/>
        <v>#REF!</v>
      </c>
      <c r="AH422" s="5" t="e">
        <f t="shared" si="70"/>
        <v>#REF!</v>
      </c>
      <c r="AI422" t="e">
        <f t="shared" si="71"/>
        <v>#REF!</v>
      </c>
    </row>
    <row r="423" spans="4:35" x14ac:dyDescent="0.55000000000000004">
      <c r="D423" t="e">
        <f>IF(COUNTIF(#REF!,"&lt;&gt;NAN")=0, 0, IF(AND(OR(#REF!=#REF!,#REF!="NAN"), OR(#REF!=#REF!,#REF!="NAN"), OR(#REF!=#REF!,#REF!="NAN")),#REF!, 0))</f>
        <v>#REF!</v>
      </c>
      <c r="E423" t="e">
        <f>IF(#REF!="NAN","",IF(
   AND(OR(#REF!=#REF!,#REF!="NAN"),
     OR(#REF!=#REF!,#REF!="NAN"),
     OR(#REF!=#REF!,#REF!="NAN")),
   1,
   0))</f>
        <v>#REF!</v>
      </c>
      <c r="G423" t="e">
        <f>IF(OR(#REF!="UP",#REF!="DOWN"),1,0)</f>
        <v>#REF!</v>
      </c>
      <c r="H423" t="e">
        <f>IF(OR(#REF!="UP",#REF!="DOWN"),1,0)</f>
        <v>#REF!</v>
      </c>
      <c r="I423" t="e">
        <f>IF(OR(#REF!="UP",#REF!="DOWN"),1,0)</f>
        <v>#REF!</v>
      </c>
      <c r="M423" t="e">
        <f>IF(OR(#REF!="UP",#REF!="DOWN"),0,1)</f>
        <v>#REF!</v>
      </c>
      <c r="N423" t="e">
        <f>IF(OR(#REF!="UP",#REF!="DOWN"),VLOOKUP($C423,Configuración!$H$2:$K$11,3),1)</f>
        <v>#REF!</v>
      </c>
      <c r="O423" t="e">
        <f>IF(OR(#REF!="UP",#REF!="DOWN"),VLOOKUP($C423,Configuración!$H$2:$K$11,4),1)</f>
        <v>#REF!</v>
      </c>
      <c r="P423" t="e">
        <f t="shared" si="63"/>
        <v>#REF!</v>
      </c>
      <c r="Q423" t="e">
        <f t="shared" si="64"/>
        <v>#REF!</v>
      </c>
      <c r="R423" t="e">
        <f t="shared" si="62"/>
        <v>#REF!</v>
      </c>
      <c r="T423" t="e">
        <f>IF(R423&lt;&gt;0,Configuración!$E$2,0)</f>
        <v>#REF!</v>
      </c>
      <c r="U423" t="e">
        <f>IF(R423&lt;&gt;0,Configuración!$F$2,0)</f>
        <v>#REF!</v>
      </c>
      <c r="V423" t="e">
        <f>IF(R423&lt;&gt;0,Configuración!$G$2,0)</f>
        <v>#REF!</v>
      </c>
      <c r="W423" t="e">
        <f t="shared" si="65"/>
        <v>#REF!</v>
      </c>
      <c r="X423" t="e">
        <f t="shared" si="66"/>
        <v>#REF!</v>
      </c>
      <c r="Z423" t="e">
        <f t="shared" si="67"/>
        <v>#REF!</v>
      </c>
      <c r="AB423" t="e">
        <f t="shared" si="68"/>
        <v>#REF!</v>
      </c>
      <c r="AG423" t="e">
        <f t="shared" si="69"/>
        <v>#REF!</v>
      </c>
      <c r="AH423" s="5" t="e">
        <f t="shared" si="70"/>
        <v>#REF!</v>
      </c>
      <c r="AI423" t="e">
        <f t="shared" si="71"/>
        <v>#REF!</v>
      </c>
    </row>
    <row r="424" spans="4:35" x14ac:dyDescent="0.55000000000000004">
      <c r="D424" t="e">
        <f>IF(COUNTIF(#REF!,"&lt;&gt;NAN")=0, 0, IF(AND(OR(#REF!=#REF!,#REF!="NAN"), OR(#REF!=#REF!,#REF!="NAN"), OR(#REF!=#REF!,#REF!="NAN")),#REF!, 0))</f>
        <v>#REF!</v>
      </c>
      <c r="E424" t="e">
        <f>IF(#REF!="NAN","",IF(
   AND(OR(#REF!=#REF!,#REF!="NAN"),
     OR(#REF!=#REF!,#REF!="NAN"),
     OR(#REF!=#REF!,#REF!="NAN")),
   1,
   0))</f>
        <v>#REF!</v>
      </c>
      <c r="G424" t="e">
        <f>IF(OR(#REF!="UP",#REF!="DOWN"),1,0)</f>
        <v>#REF!</v>
      </c>
      <c r="H424" t="e">
        <f>IF(OR(#REF!="UP",#REF!="DOWN"),1,0)</f>
        <v>#REF!</v>
      </c>
      <c r="I424" t="e">
        <f>IF(OR(#REF!="UP",#REF!="DOWN"),1,0)</f>
        <v>#REF!</v>
      </c>
      <c r="M424" t="e">
        <f>IF(OR(#REF!="UP",#REF!="DOWN"),0,1)</f>
        <v>#REF!</v>
      </c>
      <c r="N424" t="e">
        <f>IF(OR(#REF!="UP",#REF!="DOWN"),VLOOKUP($C424,Configuración!$H$2:$K$11,3),1)</f>
        <v>#REF!</v>
      </c>
      <c r="O424" t="e">
        <f>IF(OR(#REF!="UP",#REF!="DOWN"),VLOOKUP($C424,Configuración!$H$2:$K$11,4),1)</f>
        <v>#REF!</v>
      </c>
      <c r="P424" t="e">
        <f t="shared" si="63"/>
        <v>#REF!</v>
      </c>
      <c r="Q424" t="e">
        <f t="shared" si="64"/>
        <v>#REF!</v>
      </c>
      <c r="R424" t="e">
        <f t="shared" si="62"/>
        <v>#REF!</v>
      </c>
      <c r="T424" t="e">
        <f>IF(R424&lt;&gt;0,Configuración!$E$2,0)</f>
        <v>#REF!</v>
      </c>
      <c r="U424" t="e">
        <f>IF(R424&lt;&gt;0,Configuración!$F$2,0)</f>
        <v>#REF!</v>
      </c>
      <c r="V424" t="e">
        <f>IF(R424&lt;&gt;0,Configuración!$G$2,0)</f>
        <v>#REF!</v>
      </c>
      <c r="W424" t="e">
        <f t="shared" si="65"/>
        <v>#REF!</v>
      </c>
      <c r="X424" t="e">
        <f t="shared" si="66"/>
        <v>#REF!</v>
      </c>
      <c r="Z424" t="e">
        <f t="shared" si="67"/>
        <v>#REF!</v>
      </c>
      <c r="AB424" t="e">
        <f t="shared" si="68"/>
        <v>#REF!</v>
      </c>
      <c r="AG424" t="e">
        <f t="shared" si="69"/>
        <v>#REF!</v>
      </c>
      <c r="AH424" s="5" t="e">
        <f t="shared" si="70"/>
        <v>#REF!</v>
      </c>
      <c r="AI424" t="e">
        <f t="shared" si="71"/>
        <v>#REF!</v>
      </c>
    </row>
    <row r="425" spans="4:35" x14ac:dyDescent="0.55000000000000004">
      <c r="D425" t="e">
        <f>IF(COUNTIF(#REF!,"&lt;&gt;NAN")=0, 0, IF(AND(OR(#REF!=#REF!,#REF!="NAN"), OR(#REF!=#REF!,#REF!="NAN"), OR(#REF!=#REF!,#REF!="NAN")),#REF!, 0))</f>
        <v>#REF!</v>
      </c>
      <c r="E425" t="e">
        <f>IF(#REF!="NAN","",IF(
   AND(OR(#REF!=#REF!,#REF!="NAN"),
     OR(#REF!=#REF!,#REF!="NAN"),
     OR(#REF!=#REF!,#REF!="NAN")),
   1,
   0))</f>
        <v>#REF!</v>
      </c>
      <c r="G425" t="e">
        <f>IF(OR(#REF!="UP",#REF!="DOWN"),1,0)</f>
        <v>#REF!</v>
      </c>
      <c r="H425" t="e">
        <f>IF(OR(#REF!="UP",#REF!="DOWN"),1,0)</f>
        <v>#REF!</v>
      </c>
      <c r="I425" t="e">
        <f>IF(OR(#REF!="UP",#REF!="DOWN"),1,0)</f>
        <v>#REF!</v>
      </c>
      <c r="M425" t="e">
        <f>IF(OR(#REF!="UP",#REF!="DOWN"),0,1)</f>
        <v>#REF!</v>
      </c>
      <c r="N425" t="e">
        <f>IF(OR(#REF!="UP",#REF!="DOWN"),VLOOKUP($C425,Configuración!$H$2:$K$11,3),1)</f>
        <v>#REF!</v>
      </c>
      <c r="O425" t="e">
        <f>IF(OR(#REF!="UP",#REF!="DOWN"),VLOOKUP($C425,Configuración!$H$2:$K$11,4),1)</f>
        <v>#REF!</v>
      </c>
      <c r="P425" t="e">
        <f t="shared" si="63"/>
        <v>#REF!</v>
      </c>
      <c r="Q425" t="e">
        <f t="shared" si="64"/>
        <v>#REF!</v>
      </c>
      <c r="R425" t="e">
        <f t="shared" si="62"/>
        <v>#REF!</v>
      </c>
      <c r="T425" t="e">
        <f>IF(R425&lt;&gt;0,Configuración!$E$2,0)</f>
        <v>#REF!</v>
      </c>
      <c r="U425" t="e">
        <f>IF(R425&lt;&gt;0,Configuración!$F$2,0)</f>
        <v>#REF!</v>
      </c>
      <c r="V425" t="e">
        <f>IF(R425&lt;&gt;0,Configuración!$G$2,0)</f>
        <v>#REF!</v>
      </c>
      <c r="W425" t="e">
        <f t="shared" si="65"/>
        <v>#REF!</v>
      </c>
      <c r="X425" t="e">
        <f t="shared" si="66"/>
        <v>#REF!</v>
      </c>
      <c r="Z425" t="e">
        <f t="shared" si="67"/>
        <v>#REF!</v>
      </c>
      <c r="AB425" t="e">
        <f t="shared" si="68"/>
        <v>#REF!</v>
      </c>
      <c r="AG425" t="e">
        <f t="shared" si="69"/>
        <v>#REF!</v>
      </c>
      <c r="AH425" s="5" t="e">
        <f t="shared" si="70"/>
        <v>#REF!</v>
      </c>
      <c r="AI425" t="e">
        <f t="shared" si="71"/>
        <v>#REF!</v>
      </c>
    </row>
    <row r="426" spans="4:35" x14ac:dyDescent="0.55000000000000004">
      <c r="D426" t="e">
        <f>IF(COUNTIF(#REF!,"&lt;&gt;NAN")=0, 0, IF(AND(OR(#REF!=#REF!,#REF!="NAN"), OR(#REF!=#REF!,#REF!="NAN"), OR(#REF!=#REF!,#REF!="NAN")),#REF!, 0))</f>
        <v>#REF!</v>
      </c>
      <c r="E426" t="e">
        <f>IF(#REF!="NAN","",IF(
   AND(OR(#REF!=#REF!,#REF!="NAN"),
     OR(#REF!=#REF!,#REF!="NAN"),
     OR(#REF!=#REF!,#REF!="NAN")),
   1,
   0))</f>
        <v>#REF!</v>
      </c>
      <c r="G426" t="e">
        <f>IF(OR(#REF!="UP",#REF!="DOWN"),1,0)</f>
        <v>#REF!</v>
      </c>
      <c r="H426" t="e">
        <f>IF(OR(#REF!="UP",#REF!="DOWN"),1,0)</f>
        <v>#REF!</v>
      </c>
      <c r="I426" t="e">
        <f>IF(OR(#REF!="UP",#REF!="DOWN"),1,0)</f>
        <v>#REF!</v>
      </c>
      <c r="M426" t="e">
        <f>IF(OR(#REF!="UP",#REF!="DOWN"),0,1)</f>
        <v>#REF!</v>
      </c>
      <c r="N426" t="e">
        <f>IF(OR(#REF!="UP",#REF!="DOWN"),VLOOKUP($C426,Configuración!$H$2:$K$11,3),1)</f>
        <v>#REF!</v>
      </c>
      <c r="O426" t="e">
        <f>IF(OR(#REF!="UP",#REF!="DOWN"),VLOOKUP($C426,Configuración!$H$2:$K$11,4),1)</f>
        <v>#REF!</v>
      </c>
      <c r="P426" t="e">
        <f t="shared" si="63"/>
        <v>#REF!</v>
      </c>
      <c r="Q426" t="e">
        <f t="shared" si="64"/>
        <v>#REF!</v>
      </c>
      <c r="R426" t="e">
        <f t="shared" si="62"/>
        <v>#REF!</v>
      </c>
      <c r="T426" t="e">
        <f>IF(R426&lt;&gt;0,Configuración!$E$2,0)</f>
        <v>#REF!</v>
      </c>
      <c r="U426" t="e">
        <f>IF(R426&lt;&gt;0,Configuración!$F$2,0)</f>
        <v>#REF!</v>
      </c>
      <c r="V426" t="e">
        <f>IF(R426&lt;&gt;0,Configuración!$G$2,0)</f>
        <v>#REF!</v>
      </c>
      <c r="W426" t="e">
        <f t="shared" si="65"/>
        <v>#REF!</v>
      </c>
      <c r="X426" t="e">
        <f t="shared" si="66"/>
        <v>#REF!</v>
      </c>
      <c r="Z426" t="e">
        <f t="shared" si="67"/>
        <v>#REF!</v>
      </c>
      <c r="AB426" t="e">
        <f t="shared" si="68"/>
        <v>#REF!</v>
      </c>
      <c r="AG426" t="e">
        <f t="shared" si="69"/>
        <v>#REF!</v>
      </c>
      <c r="AH426" s="5" t="e">
        <f t="shared" si="70"/>
        <v>#REF!</v>
      </c>
      <c r="AI426" t="e">
        <f t="shared" si="71"/>
        <v>#REF!</v>
      </c>
    </row>
    <row r="427" spans="4:35" x14ac:dyDescent="0.55000000000000004">
      <c r="D427" t="e">
        <f>IF(COUNTIF(#REF!,"&lt;&gt;NAN")=0, 0, IF(AND(OR(#REF!=#REF!,#REF!="NAN"), OR(#REF!=#REF!,#REF!="NAN"), OR(#REF!=#REF!,#REF!="NAN")),#REF!, 0))</f>
        <v>#REF!</v>
      </c>
      <c r="E427" t="e">
        <f>IF(#REF!="NAN","",IF(
   AND(OR(#REF!=#REF!,#REF!="NAN"),
     OR(#REF!=#REF!,#REF!="NAN"),
     OR(#REF!=#REF!,#REF!="NAN")),
   1,
   0))</f>
        <v>#REF!</v>
      </c>
      <c r="G427" t="e">
        <f>IF(OR(#REF!="UP",#REF!="DOWN"),1,0)</f>
        <v>#REF!</v>
      </c>
      <c r="H427" t="e">
        <f>IF(OR(#REF!="UP",#REF!="DOWN"),1,0)</f>
        <v>#REF!</v>
      </c>
      <c r="I427" t="e">
        <f>IF(OR(#REF!="UP",#REF!="DOWN"),1,0)</f>
        <v>#REF!</v>
      </c>
      <c r="M427" t="e">
        <f>IF(OR(#REF!="UP",#REF!="DOWN"),0,1)</f>
        <v>#REF!</v>
      </c>
      <c r="N427" t="e">
        <f>IF(OR(#REF!="UP",#REF!="DOWN"),VLOOKUP($C427,Configuración!$H$2:$K$11,3),1)</f>
        <v>#REF!</v>
      </c>
      <c r="O427" t="e">
        <f>IF(OR(#REF!="UP",#REF!="DOWN"),VLOOKUP($C427,Configuración!$H$2:$K$11,4),1)</f>
        <v>#REF!</v>
      </c>
      <c r="P427" t="e">
        <f t="shared" si="63"/>
        <v>#REF!</v>
      </c>
      <c r="Q427" t="e">
        <f t="shared" si="64"/>
        <v>#REF!</v>
      </c>
      <c r="R427" t="e">
        <f t="shared" si="62"/>
        <v>#REF!</v>
      </c>
      <c r="T427" t="e">
        <f>IF(R427&lt;&gt;0,Configuración!$E$2,0)</f>
        <v>#REF!</v>
      </c>
      <c r="U427" t="e">
        <f>IF(R427&lt;&gt;0,Configuración!$F$2,0)</f>
        <v>#REF!</v>
      </c>
      <c r="V427" t="e">
        <f>IF(R427&lt;&gt;0,Configuración!$G$2,0)</f>
        <v>#REF!</v>
      </c>
      <c r="W427" t="e">
        <f t="shared" si="65"/>
        <v>#REF!</v>
      </c>
      <c r="X427" t="e">
        <f t="shared" si="66"/>
        <v>#REF!</v>
      </c>
      <c r="Z427" t="e">
        <f t="shared" si="67"/>
        <v>#REF!</v>
      </c>
      <c r="AB427" t="e">
        <f t="shared" si="68"/>
        <v>#REF!</v>
      </c>
      <c r="AG427" t="e">
        <f t="shared" si="69"/>
        <v>#REF!</v>
      </c>
      <c r="AH427" s="5" t="e">
        <f t="shared" si="70"/>
        <v>#REF!</v>
      </c>
      <c r="AI427" t="e">
        <f t="shared" si="71"/>
        <v>#REF!</v>
      </c>
    </row>
    <row r="428" spans="4:35" x14ac:dyDescent="0.55000000000000004">
      <c r="D428" t="e">
        <f>IF(COUNTIF(#REF!,"&lt;&gt;NAN")=0, 0, IF(AND(OR(#REF!=#REF!,#REF!="NAN"), OR(#REF!=#REF!,#REF!="NAN"), OR(#REF!=#REF!,#REF!="NAN")),#REF!, 0))</f>
        <v>#REF!</v>
      </c>
      <c r="E428" t="e">
        <f>IF(#REF!="NAN","",IF(
   AND(OR(#REF!=#REF!,#REF!="NAN"),
     OR(#REF!=#REF!,#REF!="NAN"),
     OR(#REF!=#REF!,#REF!="NAN")),
   1,
   0))</f>
        <v>#REF!</v>
      </c>
      <c r="G428" t="e">
        <f>IF(OR(#REF!="UP",#REF!="DOWN"),1,0)</f>
        <v>#REF!</v>
      </c>
      <c r="H428" t="e">
        <f>IF(OR(#REF!="UP",#REF!="DOWN"),1,0)</f>
        <v>#REF!</v>
      </c>
      <c r="I428" t="e">
        <f>IF(OR(#REF!="UP",#REF!="DOWN"),1,0)</f>
        <v>#REF!</v>
      </c>
      <c r="M428" t="e">
        <f>IF(OR(#REF!="UP",#REF!="DOWN"),0,1)</f>
        <v>#REF!</v>
      </c>
      <c r="N428" t="e">
        <f>IF(OR(#REF!="UP",#REF!="DOWN"),VLOOKUP($C428,Configuración!$H$2:$K$11,3),1)</f>
        <v>#REF!</v>
      </c>
      <c r="O428" t="e">
        <f>IF(OR(#REF!="UP",#REF!="DOWN"),VLOOKUP($C428,Configuración!$H$2:$K$11,4),1)</f>
        <v>#REF!</v>
      </c>
      <c r="P428" t="e">
        <f t="shared" si="63"/>
        <v>#REF!</v>
      </c>
      <c r="Q428" t="e">
        <f t="shared" si="64"/>
        <v>#REF!</v>
      </c>
      <c r="R428" t="e">
        <f t="shared" si="62"/>
        <v>#REF!</v>
      </c>
      <c r="T428" t="e">
        <f>IF(R428&lt;&gt;0,Configuración!$E$2,0)</f>
        <v>#REF!</v>
      </c>
      <c r="U428" t="e">
        <f>IF(R428&lt;&gt;0,Configuración!$F$2,0)</f>
        <v>#REF!</v>
      </c>
      <c r="V428" t="e">
        <f>IF(R428&lt;&gt;0,Configuración!$G$2,0)</f>
        <v>#REF!</v>
      </c>
      <c r="W428" t="e">
        <f t="shared" si="65"/>
        <v>#REF!</v>
      </c>
      <c r="X428" t="e">
        <f t="shared" si="66"/>
        <v>#REF!</v>
      </c>
      <c r="Z428" t="e">
        <f t="shared" si="67"/>
        <v>#REF!</v>
      </c>
      <c r="AB428" t="e">
        <f t="shared" si="68"/>
        <v>#REF!</v>
      </c>
      <c r="AG428" t="e">
        <f t="shared" si="69"/>
        <v>#REF!</v>
      </c>
      <c r="AH428" s="5" t="e">
        <f t="shared" si="70"/>
        <v>#REF!</v>
      </c>
      <c r="AI428" t="e">
        <f t="shared" si="71"/>
        <v>#REF!</v>
      </c>
    </row>
    <row r="429" spans="4:35" x14ac:dyDescent="0.55000000000000004">
      <c r="D429" t="e">
        <f>IF(COUNTIF(#REF!,"&lt;&gt;NAN")=0, 0, IF(AND(OR(#REF!=#REF!,#REF!="NAN"), OR(#REF!=#REF!,#REF!="NAN"), OR(#REF!=#REF!,#REF!="NAN")),#REF!, 0))</f>
        <v>#REF!</v>
      </c>
      <c r="E429" t="e">
        <f>IF(#REF!="NAN","",IF(
   AND(OR(#REF!=#REF!,#REF!="NAN"),
     OR(#REF!=#REF!,#REF!="NAN"),
     OR(#REF!=#REF!,#REF!="NAN")),
   1,
   0))</f>
        <v>#REF!</v>
      </c>
      <c r="G429" t="e">
        <f>IF(OR(#REF!="UP",#REF!="DOWN"),1,0)</f>
        <v>#REF!</v>
      </c>
      <c r="H429" t="e">
        <f>IF(OR(#REF!="UP",#REF!="DOWN"),1,0)</f>
        <v>#REF!</v>
      </c>
      <c r="I429" t="e">
        <f>IF(OR(#REF!="UP",#REF!="DOWN"),1,0)</f>
        <v>#REF!</v>
      </c>
      <c r="M429" t="e">
        <f>IF(OR(#REF!="UP",#REF!="DOWN"),0,1)</f>
        <v>#REF!</v>
      </c>
      <c r="N429" t="e">
        <f>IF(OR(#REF!="UP",#REF!="DOWN"),VLOOKUP($C429,Configuración!$H$2:$K$11,3),1)</f>
        <v>#REF!</v>
      </c>
      <c r="O429" t="e">
        <f>IF(OR(#REF!="UP",#REF!="DOWN"),VLOOKUP($C429,Configuración!$H$2:$K$11,4),1)</f>
        <v>#REF!</v>
      </c>
      <c r="P429" t="e">
        <f t="shared" si="63"/>
        <v>#REF!</v>
      </c>
      <c r="Q429" t="e">
        <f t="shared" si="64"/>
        <v>#REF!</v>
      </c>
      <c r="R429" t="e">
        <f t="shared" si="62"/>
        <v>#REF!</v>
      </c>
      <c r="T429" t="e">
        <f>IF(R429&lt;&gt;0,Configuración!$E$2,0)</f>
        <v>#REF!</v>
      </c>
      <c r="U429" t="e">
        <f>IF(R429&lt;&gt;0,Configuración!$F$2,0)</f>
        <v>#REF!</v>
      </c>
      <c r="V429" t="e">
        <f>IF(R429&lt;&gt;0,Configuración!$G$2,0)</f>
        <v>#REF!</v>
      </c>
      <c r="W429" t="e">
        <f t="shared" si="65"/>
        <v>#REF!</v>
      </c>
      <c r="X429" t="e">
        <f t="shared" si="66"/>
        <v>#REF!</v>
      </c>
      <c r="Z429" t="e">
        <f t="shared" si="67"/>
        <v>#REF!</v>
      </c>
      <c r="AB429" t="e">
        <f t="shared" si="68"/>
        <v>#REF!</v>
      </c>
      <c r="AG429" t="e">
        <f t="shared" si="69"/>
        <v>#REF!</v>
      </c>
      <c r="AH429" s="5" t="e">
        <f t="shared" si="70"/>
        <v>#REF!</v>
      </c>
      <c r="AI429" t="e">
        <f t="shared" si="71"/>
        <v>#REF!</v>
      </c>
    </row>
    <row r="430" spans="4:35" x14ac:dyDescent="0.55000000000000004">
      <c r="D430" t="e">
        <f>IF(COUNTIF(#REF!,"&lt;&gt;NAN")=0, 0, IF(AND(OR(#REF!=#REF!,#REF!="NAN"), OR(#REF!=#REF!,#REF!="NAN"), OR(#REF!=#REF!,#REF!="NAN")),#REF!, 0))</f>
        <v>#REF!</v>
      </c>
      <c r="E430" t="e">
        <f>IF(#REF!="NAN","",IF(
   AND(OR(#REF!=#REF!,#REF!="NAN"),
     OR(#REF!=#REF!,#REF!="NAN"),
     OR(#REF!=#REF!,#REF!="NAN")),
   1,
   0))</f>
        <v>#REF!</v>
      </c>
      <c r="G430" t="e">
        <f>IF(OR(#REF!="UP",#REF!="DOWN"),1,0)</f>
        <v>#REF!</v>
      </c>
      <c r="H430" t="e">
        <f>IF(OR(#REF!="UP",#REF!="DOWN"),1,0)</f>
        <v>#REF!</v>
      </c>
      <c r="I430" t="e">
        <f>IF(OR(#REF!="UP",#REF!="DOWN"),1,0)</f>
        <v>#REF!</v>
      </c>
      <c r="M430" t="e">
        <f>IF(OR(#REF!="UP",#REF!="DOWN"),0,1)</f>
        <v>#REF!</v>
      </c>
      <c r="N430" t="e">
        <f>IF(OR(#REF!="UP",#REF!="DOWN"),VLOOKUP($C430,Configuración!$H$2:$K$11,3),1)</f>
        <v>#REF!</v>
      </c>
      <c r="O430" t="e">
        <f>IF(OR(#REF!="UP",#REF!="DOWN"),VLOOKUP($C430,Configuración!$H$2:$K$11,4),1)</f>
        <v>#REF!</v>
      </c>
      <c r="P430" t="e">
        <f t="shared" si="63"/>
        <v>#REF!</v>
      </c>
      <c r="Q430" t="e">
        <f t="shared" si="64"/>
        <v>#REF!</v>
      </c>
      <c r="R430" t="e">
        <f t="shared" si="62"/>
        <v>#REF!</v>
      </c>
      <c r="T430" t="e">
        <f>IF(R430&lt;&gt;0,Configuración!$E$2,0)</f>
        <v>#REF!</v>
      </c>
      <c r="U430" t="e">
        <f>IF(R430&lt;&gt;0,Configuración!$F$2,0)</f>
        <v>#REF!</v>
      </c>
      <c r="V430" t="e">
        <f>IF(R430&lt;&gt;0,Configuración!$G$2,0)</f>
        <v>#REF!</v>
      </c>
      <c r="W430" t="e">
        <f t="shared" si="65"/>
        <v>#REF!</v>
      </c>
      <c r="X430" t="e">
        <f t="shared" si="66"/>
        <v>#REF!</v>
      </c>
      <c r="Z430" t="e">
        <f t="shared" si="67"/>
        <v>#REF!</v>
      </c>
      <c r="AB430" t="e">
        <f t="shared" si="68"/>
        <v>#REF!</v>
      </c>
      <c r="AG430" t="e">
        <f t="shared" si="69"/>
        <v>#REF!</v>
      </c>
      <c r="AH430" s="5" t="e">
        <f t="shared" si="70"/>
        <v>#REF!</v>
      </c>
      <c r="AI430" t="e">
        <f t="shared" si="71"/>
        <v>#REF!</v>
      </c>
    </row>
    <row r="431" spans="4:35" x14ac:dyDescent="0.55000000000000004">
      <c r="D431" t="e">
        <f>IF(COUNTIF(#REF!,"&lt;&gt;NAN")=0, 0, IF(AND(OR(#REF!=#REF!,#REF!="NAN"), OR(#REF!=#REF!,#REF!="NAN"), OR(#REF!=#REF!,#REF!="NAN")),#REF!, 0))</f>
        <v>#REF!</v>
      </c>
      <c r="E431" t="e">
        <f>IF(#REF!="NAN","",IF(
   AND(OR(#REF!=#REF!,#REF!="NAN"),
     OR(#REF!=#REF!,#REF!="NAN"),
     OR(#REF!=#REF!,#REF!="NAN")),
   1,
   0))</f>
        <v>#REF!</v>
      </c>
      <c r="G431" t="e">
        <f>IF(OR(#REF!="UP",#REF!="DOWN"),1,0)</f>
        <v>#REF!</v>
      </c>
      <c r="H431" t="e">
        <f>IF(OR(#REF!="UP",#REF!="DOWN"),1,0)</f>
        <v>#REF!</v>
      </c>
      <c r="I431" t="e">
        <f>IF(OR(#REF!="UP",#REF!="DOWN"),1,0)</f>
        <v>#REF!</v>
      </c>
      <c r="M431" t="e">
        <f>IF(OR(#REF!="UP",#REF!="DOWN"),0,1)</f>
        <v>#REF!</v>
      </c>
      <c r="N431" t="e">
        <f>IF(OR(#REF!="UP",#REF!="DOWN"),VLOOKUP($C431,Configuración!$H$2:$K$11,3),1)</f>
        <v>#REF!</v>
      </c>
      <c r="O431" t="e">
        <f>IF(OR(#REF!="UP",#REF!="DOWN"),VLOOKUP($C431,Configuración!$H$2:$K$11,4),1)</f>
        <v>#REF!</v>
      </c>
      <c r="P431" t="e">
        <f t="shared" si="63"/>
        <v>#REF!</v>
      </c>
      <c r="Q431" t="e">
        <f t="shared" si="64"/>
        <v>#REF!</v>
      </c>
      <c r="R431" t="e">
        <f t="shared" si="62"/>
        <v>#REF!</v>
      </c>
      <c r="T431" t="e">
        <f>IF(R431&lt;&gt;0,Configuración!$E$2,0)</f>
        <v>#REF!</v>
      </c>
      <c r="U431" t="e">
        <f>IF(R431&lt;&gt;0,Configuración!$F$2,0)</f>
        <v>#REF!</v>
      </c>
      <c r="V431" t="e">
        <f>IF(R431&lt;&gt;0,Configuración!$G$2,0)</f>
        <v>#REF!</v>
      </c>
      <c r="W431" t="e">
        <f t="shared" si="65"/>
        <v>#REF!</v>
      </c>
      <c r="X431" t="e">
        <f t="shared" si="66"/>
        <v>#REF!</v>
      </c>
      <c r="Z431" t="e">
        <f t="shared" si="67"/>
        <v>#REF!</v>
      </c>
      <c r="AB431" t="e">
        <f t="shared" si="68"/>
        <v>#REF!</v>
      </c>
      <c r="AG431" t="e">
        <f t="shared" si="69"/>
        <v>#REF!</v>
      </c>
      <c r="AH431" s="5" t="e">
        <f t="shared" si="70"/>
        <v>#REF!</v>
      </c>
      <c r="AI431" t="e">
        <f t="shared" si="71"/>
        <v>#REF!</v>
      </c>
    </row>
    <row r="432" spans="4:35" x14ac:dyDescent="0.55000000000000004">
      <c r="D432" t="e">
        <f>IF(COUNTIF(#REF!,"&lt;&gt;NAN")=0, 0, IF(AND(OR(#REF!=#REF!,#REF!="NAN"), OR(#REF!=#REF!,#REF!="NAN"), OR(#REF!=#REF!,#REF!="NAN")),#REF!, 0))</f>
        <v>#REF!</v>
      </c>
      <c r="E432" t="e">
        <f>IF(#REF!="NAN","",IF(
   AND(OR(#REF!=#REF!,#REF!="NAN"),
     OR(#REF!=#REF!,#REF!="NAN"),
     OR(#REF!=#REF!,#REF!="NAN")),
   1,
   0))</f>
        <v>#REF!</v>
      </c>
      <c r="G432" t="e">
        <f>IF(OR(#REF!="UP",#REF!="DOWN"),1,0)</f>
        <v>#REF!</v>
      </c>
      <c r="H432" t="e">
        <f>IF(OR(#REF!="UP",#REF!="DOWN"),1,0)</f>
        <v>#REF!</v>
      </c>
      <c r="I432" t="e">
        <f>IF(OR(#REF!="UP",#REF!="DOWN"),1,0)</f>
        <v>#REF!</v>
      </c>
      <c r="M432" t="e">
        <f>IF(OR(#REF!="UP",#REF!="DOWN"),0,1)</f>
        <v>#REF!</v>
      </c>
      <c r="N432" t="e">
        <f>IF(OR(#REF!="UP",#REF!="DOWN"),VLOOKUP($C432,Configuración!$H$2:$K$11,3),1)</f>
        <v>#REF!</v>
      </c>
      <c r="O432" t="e">
        <f>IF(OR(#REF!="UP",#REF!="DOWN"),VLOOKUP($C432,Configuración!$H$2:$K$11,4),1)</f>
        <v>#REF!</v>
      </c>
      <c r="P432" t="e">
        <f t="shared" si="63"/>
        <v>#REF!</v>
      </c>
      <c r="Q432" t="e">
        <f t="shared" si="64"/>
        <v>#REF!</v>
      </c>
      <c r="R432" t="e">
        <f t="shared" ref="R432:R482" si="72">IF(AND(OR(D432="UP",D432="DOWN"), Q432&gt;0.9), D432, 0)</f>
        <v>#REF!</v>
      </c>
      <c r="T432" t="e">
        <f>IF(R432&lt;&gt;0,Configuración!$E$2,0)</f>
        <v>#REF!</v>
      </c>
      <c r="U432" t="e">
        <f>IF(R432&lt;&gt;0,Configuración!$F$2,0)</f>
        <v>#REF!</v>
      </c>
      <c r="V432" t="e">
        <f>IF(R432&lt;&gt;0,Configuración!$G$2,0)</f>
        <v>#REF!</v>
      </c>
      <c r="W432" t="e">
        <f t="shared" si="65"/>
        <v>#REF!</v>
      </c>
      <c r="X432" t="e">
        <f t="shared" si="66"/>
        <v>#REF!</v>
      </c>
      <c r="Z432" t="e">
        <f t="shared" si="67"/>
        <v>#REF!</v>
      </c>
      <c r="AB432" t="e">
        <f t="shared" si="68"/>
        <v>#REF!</v>
      </c>
      <c r="AG432" t="e">
        <f t="shared" si="69"/>
        <v>#REF!</v>
      </c>
      <c r="AH432" s="5" t="e">
        <f t="shared" si="70"/>
        <v>#REF!</v>
      </c>
      <c r="AI432" t="e">
        <f t="shared" si="71"/>
        <v>#REF!</v>
      </c>
    </row>
    <row r="433" spans="4:35" x14ac:dyDescent="0.55000000000000004">
      <c r="D433" t="e">
        <f>IF(COUNTIF(#REF!,"&lt;&gt;NAN")=0, 0, IF(AND(OR(#REF!=#REF!,#REF!="NAN"), OR(#REF!=#REF!,#REF!="NAN"), OR(#REF!=#REF!,#REF!="NAN")),#REF!, 0))</f>
        <v>#REF!</v>
      </c>
      <c r="E433" t="e">
        <f>IF(#REF!="NAN","",IF(
   AND(OR(#REF!=#REF!,#REF!="NAN"),
     OR(#REF!=#REF!,#REF!="NAN"),
     OR(#REF!=#REF!,#REF!="NAN")),
   1,
   0))</f>
        <v>#REF!</v>
      </c>
      <c r="G433" t="e">
        <f>IF(OR(#REF!="UP",#REF!="DOWN"),1,0)</f>
        <v>#REF!</v>
      </c>
      <c r="H433" t="e">
        <f>IF(OR(#REF!="UP",#REF!="DOWN"),1,0)</f>
        <v>#REF!</v>
      </c>
      <c r="I433" t="e">
        <f>IF(OR(#REF!="UP",#REF!="DOWN"),1,0)</f>
        <v>#REF!</v>
      </c>
      <c r="M433" t="e">
        <f>IF(OR(#REF!="UP",#REF!="DOWN"),0,1)</f>
        <v>#REF!</v>
      </c>
      <c r="N433" t="e">
        <f>IF(OR(#REF!="UP",#REF!="DOWN"),VLOOKUP($C433,Configuración!$H$2:$K$11,3),1)</f>
        <v>#REF!</v>
      </c>
      <c r="O433" t="e">
        <f>IF(OR(#REF!="UP",#REF!="DOWN"),VLOOKUP($C433,Configuración!$H$2:$K$11,4),1)</f>
        <v>#REF!</v>
      </c>
      <c r="P433" t="e">
        <f t="shared" si="63"/>
        <v>#REF!</v>
      </c>
      <c r="Q433" t="e">
        <f t="shared" si="64"/>
        <v>#REF!</v>
      </c>
      <c r="R433" t="e">
        <f t="shared" si="72"/>
        <v>#REF!</v>
      </c>
      <c r="T433" t="e">
        <f>IF(R433&lt;&gt;0,Configuración!$E$2,0)</f>
        <v>#REF!</v>
      </c>
      <c r="U433" t="e">
        <f>IF(R433&lt;&gt;0,Configuración!$F$2,0)</f>
        <v>#REF!</v>
      </c>
      <c r="V433" t="e">
        <f>IF(R433&lt;&gt;0,Configuración!$G$2,0)</f>
        <v>#REF!</v>
      </c>
      <c r="W433" t="e">
        <f t="shared" si="65"/>
        <v>#REF!</v>
      </c>
      <c r="X433" t="e">
        <f t="shared" si="66"/>
        <v>#REF!</v>
      </c>
      <c r="Z433" t="e">
        <f t="shared" si="67"/>
        <v>#REF!</v>
      </c>
      <c r="AB433" t="e">
        <f t="shared" si="68"/>
        <v>#REF!</v>
      </c>
      <c r="AG433" t="e">
        <f t="shared" si="69"/>
        <v>#REF!</v>
      </c>
      <c r="AH433" s="5" t="e">
        <f t="shared" si="70"/>
        <v>#REF!</v>
      </c>
      <c r="AI433" t="e">
        <f t="shared" si="71"/>
        <v>#REF!</v>
      </c>
    </row>
    <row r="434" spans="4:35" x14ac:dyDescent="0.55000000000000004">
      <c r="D434" t="e">
        <f>IF(COUNTIF(#REF!,"&lt;&gt;NAN")=0, 0, IF(AND(OR(#REF!=#REF!,#REF!="NAN"), OR(#REF!=#REF!,#REF!="NAN"), OR(#REF!=#REF!,#REF!="NAN")),#REF!, 0))</f>
        <v>#REF!</v>
      </c>
      <c r="E434" t="e">
        <f>IF(#REF!="NAN","",IF(
   AND(OR(#REF!=#REF!,#REF!="NAN"),
     OR(#REF!=#REF!,#REF!="NAN"),
     OR(#REF!=#REF!,#REF!="NAN")),
   1,
   0))</f>
        <v>#REF!</v>
      </c>
      <c r="G434" t="e">
        <f>IF(OR(#REF!="UP",#REF!="DOWN"),1,0)</f>
        <v>#REF!</v>
      </c>
      <c r="H434" t="e">
        <f>IF(OR(#REF!="UP",#REF!="DOWN"),1,0)</f>
        <v>#REF!</v>
      </c>
      <c r="I434" t="e">
        <f>IF(OR(#REF!="UP",#REF!="DOWN"),1,0)</f>
        <v>#REF!</v>
      </c>
      <c r="M434" t="e">
        <f>IF(OR(#REF!="UP",#REF!="DOWN"),0,1)</f>
        <v>#REF!</v>
      </c>
      <c r="N434" t="e">
        <f>IF(OR(#REF!="UP",#REF!="DOWN"),VLOOKUP($C434,Configuración!$H$2:$K$11,3),1)</f>
        <v>#REF!</v>
      </c>
      <c r="O434" t="e">
        <f>IF(OR(#REF!="UP",#REF!="DOWN"),VLOOKUP($C434,Configuración!$H$2:$K$11,4),1)</f>
        <v>#REF!</v>
      </c>
      <c r="P434" t="e">
        <f t="shared" si="63"/>
        <v>#REF!</v>
      </c>
      <c r="Q434" t="e">
        <f t="shared" si="64"/>
        <v>#REF!</v>
      </c>
      <c r="R434" t="e">
        <f t="shared" si="72"/>
        <v>#REF!</v>
      </c>
      <c r="T434" t="e">
        <f>IF(R434&lt;&gt;0,Configuración!$E$2,0)</f>
        <v>#REF!</v>
      </c>
      <c r="U434" t="e">
        <f>IF(R434&lt;&gt;0,Configuración!$F$2,0)</f>
        <v>#REF!</v>
      </c>
      <c r="V434" t="e">
        <f>IF(R434&lt;&gt;0,Configuración!$G$2,0)</f>
        <v>#REF!</v>
      </c>
      <c r="W434" t="e">
        <f t="shared" si="65"/>
        <v>#REF!</v>
      </c>
      <c r="X434" t="e">
        <f t="shared" si="66"/>
        <v>#REF!</v>
      </c>
      <c r="Z434" t="e">
        <f t="shared" si="67"/>
        <v>#REF!</v>
      </c>
      <c r="AB434" t="e">
        <f t="shared" si="68"/>
        <v>#REF!</v>
      </c>
      <c r="AG434" t="e">
        <f t="shared" si="69"/>
        <v>#REF!</v>
      </c>
      <c r="AH434" s="5" t="e">
        <f t="shared" si="70"/>
        <v>#REF!</v>
      </c>
      <c r="AI434" t="e">
        <f t="shared" si="71"/>
        <v>#REF!</v>
      </c>
    </row>
    <row r="435" spans="4:35" x14ac:dyDescent="0.55000000000000004">
      <c r="D435" t="e">
        <f>IF(COUNTIF(#REF!,"&lt;&gt;NAN")=0, 0, IF(AND(OR(#REF!=#REF!,#REF!="NAN"), OR(#REF!=#REF!,#REF!="NAN"), OR(#REF!=#REF!,#REF!="NAN")),#REF!, 0))</f>
        <v>#REF!</v>
      </c>
      <c r="E435" t="e">
        <f>IF(#REF!="NAN","",IF(
   AND(OR(#REF!=#REF!,#REF!="NAN"),
     OR(#REF!=#REF!,#REF!="NAN"),
     OR(#REF!=#REF!,#REF!="NAN")),
   1,
   0))</f>
        <v>#REF!</v>
      </c>
      <c r="G435" t="e">
        <f>IF(OR(#REF!="UP",#REF!="DOWN"),1,0)</f>
        <v>#REF!</v>
      </c>
      <c r="H435" t="e">
        <f>IF(OR(#REF!="UP",#REF!="DOWN"),1,0)</f>
        <v>#REF!</v>
      </c>
      <c r="I435" t="e">
        <f>IF(OR(#REF!="UP",#REF!="DOWN"),1,0)</f>
        <v>#REF!</v>
      </c>
      <c r="M435" t="e">
        <f>IF(OR(#REF!="UP",#REF!="DOWN"),0,1)</f>
        <v>#REF!</v>
      </c>
      <c r="N435" t="e">
        <f>IF(OR(#REF!="UP",#REF!="DOWN"),VLOOKUP($C435,Configuración!$H$2:$K$11,3),1)</f>
        <v>#REF!</v>
      </c>
      <c r="O435" t="e">
        <f>IF(OR(#REF!="UP",#REF!="DOWN"),VLOOKUP($C435,Configuración!$H$2:$K$11,4),1)</f>
        <v>#REF!</v>
      </c>
      <c r="P435" t="e">
        <f t="shared" si="63"/>
        <v>#REF!</v>
      </c>
      <c r="Q435" t="e">
        <f t="shared" si="64"/>
        <v>#REF!</v>
      </c>
      <c r="R435" t="e">
        <f t="shared" si="72"/>
        <v>#REF!</v>
      </c>
      <c r="T435" t="e">
        <f>IF(R435&lt;&gt;0,Configuración!$E$2,0)</f>
        <v>#REF!</v>
      </c>
      <c r="U435" t="e">
        <f>IF(R435&lt;&gt;0,Configuración!$F$2,0)</f>
        <v>#REF!</v>
      </c>
      <c r="V435" t="e">
        <f>IF(R435&lt;&gt;0,Configuración!$G$2,0)</f>
        <v>#REF!</v>
      </c>
      <c r="W435" t="e">
        <f t="shared" si="65"/>
        <v>#REF!</v>
      </c>
      <c r="X435" t="e">
        <f t="shared" si="66"/>
        <v>#REF!</v>
      </c>
      <c r="Z435" t="e">
        <f t="shared" si="67"/>
        <v>#REF!</v>
      </c>
      <c r="AB435" t="e">
        <f t="shared" si="68"/>
        <v>#REF!</v>
      </c>
      <c r="AG435" t="e">
        <f t="shared" si="69"/>
        <v>#REF!</v>
      </c>
      <c r="AH435" s="5" t="e">
        <f t="shared" si="70"/>
        <v>#REF!</v>
      </c>
      <c r="AI435" t="e">
        <f t="shared" si="71"/>
        <v>#REF!</v>
      </c>
    </row>
    <row r="436" spans="4:35" x14ac:dyDescent="0.55000000000000004">
      <c r="D436" t="e">
        <f>IF(COUNTIF(#REF!,"&lt;&gt;NAN")=0, 0, IF(AND(OR(#REF!=#REF!,#REF!="NAN"), OR(#REF!=#REF!,#REF!="NAN"), OR(#REF!=#REF!,#REF!="NAN")),#REF!, 0))</f>
        <v>#REF!</v>
      </c>
      <c r="E436" t="e">
        <f>IF(#REF!="NAN","",IF(
   AND(OR(#REF!=#REF!,#REF!="NAN"),
     OR(#REF!=#REF!,#REF!="NAN"),
     OR(#REF!=#REF!,#REF!="NAN")),
   1,
   0))</f>
        <v>#REF!</v>
      </c>
      <c r="G436" t="e">
        <f>IF(OR(#REF!="UP",#REF!="DOWN"),1,0)</f>
        <v>#REF!</v>
      </c>
      <c r="H436" t="e">
        <f>IF(OR(#REF!="UP",#REF!="DOWN"),1,0)</f>
        <v>#REF!</v>
      </c>
      <c r="I436" t="e">
        <f>IF(OR(#REF!="UP",#REF!="DOWN"),1,0)</f>
        <v>#REF!</v>
      </c>
      <c r="M436" t="e">
        <f>IF(OR(#REF!="UP",#REF!="DOWN"),0,1)</f>
        <v>#REF!</v>
      </c>
      <c r="N436" t="e">
        <f>IF(OR(#REF!="UP",#REF!="DOWN"),VLOOKUP($C436,Configuración!$H$2:$K$11,3),1)</f>
        <v>#REF!</v>
      </c>
      <c r="O436" t="e">
        <f>IF(OR(#REF!="UP",#REF!="DOWN"),VLOOKUP($C436,Configuración!$H$2:$K$11,4),1)</f>
        <v>#REF!</v>
      </c>
      <c r="P436" t="e">
        <f t="shared" si="63"/>
        <v>#REF!</v>
      </c>
      <c r="Q436" t="e">
        <f t="shared" si="64"/>
        <v>#REF!</v>
      </c>
      <c r="R436" t="e">
        <f t="shared" si="72"/>
        <v>#REF!</v>
      </c>
      <c r="T436" t="e">
        <f>IF(R436&lt;&gt;0,Configuración!$E$2,0)</f>
        <v>#REF!</v>
      </c>
      <c r="U436" t="e">
        <f>IF(R436&lt;&gt;0,Configuración!$F$2,0)</f>
        <v>#REF!</v>
      </c>
      <c r="V436" t="e">
        <f>IF(R436&lt;&gt;0,Configuración!$G$2,0)</f>
        <v>#REF!</v>
      </c>
      <c r="W436" t="e">
        <f t="shared" si="65"/>
        <v>#REF!</v>
      </c>
      <c r="X436" t="e">
        <f t="shared" si="66"/>
        <v>#REF!</v>
      </c>
      <c r="Z436" t="e">
        <f t="shared" si="67"/>
        <v>#REF!</v>
      </c>
      <c r="AB436" t="e">
        <f t="shared" si="68"/>
        <v>#REF!</v>
      </c>
      <c r="AG436" t="e">
        <f t="shared" si="69"/>
        <v>#REF!</v>
      </c>
      <c r="AH436" s="5" t="e">
        <f t="shared" si="70"/>
        <v>#REF!</v>
      </c>
      <c r="AI436" t="e">
        <f t="shared" si="71"/>
        <v>#REF!</v>
      </c>
    </row>
    <row r="437" spans="4:35" x14ac:dyDescent="0.55000000000000004">
      <c r="D437" t="e">
        <f>IF(COUNTIF(#REF!,"&lt;&gt;NAN")=0, 0, IF(AND(OR(#REF!=#REF!,#REF!="NAN"), OR(#REF!=#REF!,#REF!="NAN"), OR(#REF!=#REF!,#REF!="NAN")),#REF!, 0))</f>
        <v>#REF!</v>
      </c>
      <c r="E437" t="e">
        <f>IF(#REF!="NAN","",IF(
   AND(OR(#REF!=#REF!,#REF!="NAN"),
     OR(#REF!=#REF!,#REF!="NAN"),
     OR(#REF!=#REF!,#REF!="NAN")),
   1,
   0))</f>
        <v>#REF!</v>
      </c>
      <c r="G437" t="e">
        <f>IF(OR(#REF!="UP",#REF!="DOWN"),1,0)</f>
        <v>#REF!</v>
      </c>
      <c r="H437" t="e">
        <f>IF(OR(#REF!="UP",#REF!="DOWN"),1,0)</f>
        <v>#REF!</v>
      </c>
      <c r="I437" t="e">
        <f>IF(OR(#REF!="UP",#REF!="DOWN"),1,0)</f>
        <v>#REF!</v>
      </c>
      <c r="M437" t="e">
        <f>IF(OR(#REF!="UP",#REF!="DOWN"),0,1)</f>
        <v>#REF!</v>
      </c>
      <c r="N437" t="e">
        <f>IF(OR(#REF!="UP",#REF!="DOWN"),VLOOKUP($C437,Configuración!$H$2:$K$11,3),1)</f>
        <v>#REF!</v>
      </c>
      <c r="O437" t="e">
        <f>IF(OR(#REF!="UP",#REF!="DOWN"),VLOOKUP($C437,Configuración!$H$2:$K$11,4),1)</f>
        <v>#REF!</v>
      </c>
      <c r="P437" t="e">
        <f t="shared" si="63"/>
        <v>#REF!</v>
      </c>
      <c r="Q437" t="e">
        <f t="shared" si="64"/>
        <v>#REF!</v>
      </c>
      <c r="R437" t="e">
        <f t="shared" si="72"/>
        <v>#REF!</v>
      </c>
      <c r="T437" t="e">
        <f>IF(R437&lt;&gt;0,Configuración!$E$2,0)</f>
        <v>#REF!</v>
      </c>
      <c r="U437" t="e">
        <f>IF(R437&lt;&gt;0,Configuración!$F$2,0)</f>
        <v>#REF!</v>
      </c>
      <c r="V437" t="e">
        <f>IF(R437&lt;&gt;0,Configuración!$G$2,0)</f>
        <v>#REF!</v>
      </c>
      <c r="W437" t="e">
        <f t="shared" si="65"/>
        <v>#REF!</v>
      </c>
      <c r="X437" t="e">
        <f t="shared" si="66"/>
        <v>#REF!</v>
      </c>
      <c r="Z437" t="e">
        <f t="shared" si="67"/>
        <v>#REF!</v>
      </c>
      <c r="AB437" t="e">
        <f t="shared" si="68"/>
        <v>#REF!</v>
      </c>
      <c r="AG437" t="e">
        <f t="shared" si="69"/>
        <v>#REF!</v>
      </c>
      <c r="AH437" s="5" t="e">
        <f t="shared" si="70"/>
        <v>#REF!</v>
      </c>
      <c r="AI437" t="e">
        <f t="shared" si="71"/>
        <v>#REF!</v>
      </c>
    </row>
    <row r="438" spans="4:35" x14ac:dyDescent="0.55000000000000004">
      <c r="D438" t="e">
        <f>IF(COUNTIF(#REF!,"&lt;&gt;NAN")=0, 0, IF(AND(OR(#REF!=#REF!,#REF!="NAN"), OR(#REF!=#REF!,#REF!="NAN"), OR(#REF!=#REF!,#REF!="NAN")),#REF!, 0))</f>
        <v>#REF!</v>
      </c>
      <c r="E438" t="e">
        <f>IF(#REF!="NAN","",IF(
   AND(OR(#REF!=#REF!,#REF!="NAN"),
     OR(#REF!=#REF!,#REF!="NAN"),
     OR(#REF!=#REF!,#REF!="NAN")),
   1,
   0))</f>
        <v>#REF!</v>
      </c>
      <c r="G438" t="e">
        <f>IF(OR(#REF!="UP",#REF!="DOWN"),1,0)</f>
        <v>#REF!</v>
      </c>
      <c r="H438" t="e">
        <f>IF(OR(#REF!="UP",#REF!="DOWN"),1,0)</f>
        <v>#REF!</v>
      </c>
      <c r="I438" t="e">
        <f>IF(OR(#REF!="UP",#REF!="DOWN"),1,0)</f>
        <v>#REF!</v>
      </c>
      <c r="M438" t="e">
        <f>IF(OR(#REF!="UP",#REF!="DOWN"),0,1)</f>
        <v>#REF!</v>
      </c>
      <c r="N438" t="e">
        <f>IF(OR(#REF!="UP",#REF!="DOWN"),VLOOKUP($C438,Configuración!$H$2:$K$11,3),1)</f>
        <v>#REF!</v>
      </c>
      <c r="O438" t="e">
        <f>IF(OR(#REF!="UP",#REF!="DOWN"),VLOOKUP($C438,Configuración!$H$2:$K$11,4),1)</f>
        <v>#REF!</v>
      </c>
      <c r="P438" t="e">
        <f t="shared" si="63"/>
        <v>#REF!</v>
      </c>
      <c r="Q438" t="e">
        <f t="shared" si="64"/>
        <v>#REF!</v>
      </c>
      <c r="R438" t="e">
        <f t="shared" si="72"/>
        <v>#REF!</v>
      </c>
      <c r="T438" t="e">
        <f>IF(R438&lt;&gt;0,Configuración!$E$2,0)</f>
        <v>#REF!</v>
      </c>
      <c r="U438" t="e">
        <f>IF(R438&lt;&gt;0,Configuración!$F$2,0)</f>
        <v>#REF!</v>
      </c>
      <c r="V438" t="e">
        <f>IF(R438&lt;&gt;0,Configuración!$G$2,0)</f>
        <v>#REF!</v>
      </c>
      <c r="W438" t="e">
        <f t="shared" si="65"/>
        <v>#REF!</v>
      </c>
      <c r="X438" t="e">
        <f t="shared" si="66"/>
        <v>#REF!</v>
      </c>
      <c r="Z438" t="e">
        <f t="shared" si="67"/>
        <v>#REF!</v>
      </c>
      <c r="AB438" t="e">
        <f t="shared" si="68"/>
        <v>#REF!</v>
      </c>
      <c r="AG438" t="e">
        <f t="shared" si="69"/>
        <v>#REF!</v>
      </c>
      <c r="AH438" s="5" t="e">
        <f t="shared" si="70"/>
        <v>#REF!</v>
      </c>
      <c r="AI438" t="e">
        <f t="shared" si="71"/>
        <v>#REF!</v>
      </c>
    </row>
    <row r="439" spans="4:35" x14ac:dyDescent="0.55000000000000004">
      <c r="D439" t="e">
        <f>IF(COUNTIF(#REF!,"&lt;&gt;NAN")=0, 0, IF(AND(OR(#REF!=#REF!,#REF!="NAN"), OR(#REF!=#REF!,#REF!="NAN"), OR(#REF!=#REF!,#REF!="NAN")),#REF!, 0))</f>
        <v>#REF!</v>
      </c>
      <c r="E439" t="e">
        <f>IF(#REF!="NAN","",IF(
   AND(OR(#REF!=#REF!,#REF!="NAN"),
     OR(#REF!=#REF!,#REF!="NAN"),
     OR(#REF!=#REF!,#REF!="NAN")),
   1,
   0))</f>
        <v>#REF!</v>
      </c>
      <c r="G439" t="e">
        <f>IF(OR(#REF!="UP",#REF!="DOWN"),1,0)</f>
        <v>#REF!</v>
      </c>
      <c r="H439" t="e">
        <f>IF(OR(#REF!="UP",#REF!="DOWN"),1,0)</f>
        <v>#REF!</v>
      </c>
      <c r="I439" t="e">
        <f>IF(OR(#REF!="UP",#REF!="DOWN"),1,0)</f>
        <v>#REF!</v>
      </c>
      <c r="M439" t="e">
        <f>IF(OR(#REF!="UP",#REF!="DOWN"),0,1)</f>
        <v>#REF!</v>
      </c>
      <c r="N439" t="e">
        <f>IF(OR(#REF!="UP",#REF!="DOWN"),VLOOKUP($C439,Configuración!$H$2:$K$11,3),1)</f>
        <v>#REF!</v>
      </c>
      <c r="O439" t="e">
        <f>IF(OR(#REF!="UP",#REF!="DOWN"),VLOOKUP($C439,Configuración!$H$2:$K$11,4),1)</f>
        <v>#REF!</v>
      </c>
      <c r="P439" t="e">
        <f t="shared" si="63"/>
        <v>#REF!</v>
      </c>
      <c r="Q439" t="e">
        <f t="shared" si="64"/>
        <v>#REF!</v>
      </c>
      <c r="R439" t="e">
        <f t="shared" si="72"/>
        <v>#REF!</v>
      </c>
      <c r="T439" t="e">
        <f>IF(R439&lt;&gt;0,Configuración!$E$2,0)</f>
        <v>#REF!</v>
      </c>
      <c r="U439" t="e">
        <f>IF(R439&lt;&gt;0,Configuración!$F$2,0)</f>
        <v>#REF!</v>
      </c>
      <c r="V439" t="e">
        <f>IF(R439&lt;&gt;0,Configuración!$G$2,0)</f>
        <v>#REF!</v>
      </c>
      <c r="W439" t="e">
        <f t="shared" si="65"/>
        <v>#REF!</v>
      </c>
      <c r="X439" t="e">
        <f t="shared" si="66"/>
        <v>#REF!</v>
      </c>
      <c r="Z439" t="e">
        <f t="shared" si="67"/>
        <v>#REF!</v>
      </c>
      <c r="AB439" t="e">
        <f t="shared" si="68"/>
        <v>#REF!</v>
      </c>
      <c r="AG439" t="e">
        <f t="shared" si="69"/>
        <v>#REF!</v>
      </c>
      <c r="AH439" s="5" t="e">
        <f t="shared" si="70"/>
        <v>#REF!</v>
      </c>
      <c r="AI439" t="e">
        <f t="shared" si="71"/>
        <v>#REF!</v>
      </c>
    </row>
    <row r="440" spans="4:35" x14ac:dyDescent="0.55000000000000004">
      <c r="D440" t="e">
        <f>IF(COUNTIF(#REF!,"&lt;&gt;NAN")=0, 0, IF(AND(OR(#REF!=#REF!,#REF!="NAN"), OR(#REF!=#REF!,#REF!="NAN"), OR(#REF!=#REF!,#REF!="NAN")),#REF!, 0))</f>
        <v>#REF!</v>
      </c>
      <c r="E440" t="e">
        <f>IF(#REF!="NAN","",IF(
   AND(OR(#REF!=#REF!,#REF!="NAN"),
     OR(#REF!=#REF!,#REF!="NAN"),
     OR(#REF!=#REF!,#REF!="NAN")),
   1,
   0))</f>
        <v>#REF!</v>
      </c>
      <c r="G440" t="e">
        <f>IF(OR(#REF!="UP",#REF!="DOWN"),1,0)</f>
        <v>#REF!</v>
      </c>
      <c r="H440" t="e">
        <f>IF(OR(#REF!="UP",#REF!="DOWN"),1,0)</f>
        <v>#REF!</v>
      </c>
      <c r="I440" t="e">
        <f>IF(OR(#REF!="UP",#REF!="DOWN"),1,0)</f>
        <v>#REF!</v>
      </c>
      <c r="M440" t="e">
        <f>IF(OR(#REF!="UP",#REF!="DOWN"),0,1)</f>
        <v>#REF!</v>
      </c>
      <c r="N440" t="e">
        <f>IF(OR(#REF!="UP",#REF!="DOWN"),VLOOKUP($C440,Configuración!$H$2:$K$11,3),1)</f>
        <v>#REF!</v>
      </c>
      <c r="O440" t="e">
        <f>IF(OR(#REF!="UP",#REF!="DOWN"),VLOOKUP($C440,Configuración!$H$2:$K$11,4),1)</f>
        <v>#REF!</v>
      </c>
      <c r="P440" t="e">
        <f t="shared" si="63"/>
        <v>#REF!</v>
      </c>
      <c r="Q440" t="e">
        <f t="shared" si="64"/>
        <v>#REF!</v>
      </c>
      <c r="R440" t="e">
        <f t="shared" si="72"/>
        <v>#REF!</v>
      </c>
      <c r="T440" t="e">
        <f>IF(R440&lt;&gt;0,Configuración!$E$2,0)</f>
        <v>#REF!</v>
      </c>
      <c r="U440" t="e">
        <f>IF(R440&lt;&gt;0,Configuración!$F$2,0)</f>
        <v>#REF!</v>
      </c>
      <c r="V440" t="e">
        <f>IF(R440&lt;&gt;0,Configuración!$G$2,0)</f>
        <v>#REF!</v>
      </c>
      <c r="W440" t="e">
        <f t="shared" si="65"/>
        <v>#REF!</v>
      </c>
      <c r="X440" t="e">
        <f t="shared" si="66"/>
        <v>#REF!</v>
      </c>
      <c r="Z440" t="e">
        <f t="shared" si="67"/>
        <v>#REF!</v>
      </c>
      <c r="AB440" t="e">
        <f t="shared" si="68"/>
        <v>#REF!</v>
      </c>
      <c r="AG440" t="e">
        <f t="shared" si="69"/>
        <v>#REF!</v>
      </c>
      <c r="AH440" s="5" t="e">
        <f t="shared" si="70"/>
        <v>#REF!</v>
      </c>
      <c r="AI440" t="e">
        <f t="shared" si="71"/>
        <v>#REF!</v>
      </c>
    </row>
    <row r="441" spans="4:35" x14ac:dyDescent="0.55000000000000004">
      <c r="D441" t="e">
        <f>IF(COUNTIF(#REF!,"&lt;&gt;NAN")=0, 0, IF(AND(OR(#REF!=#REF!,#REF!="NAN"), OR(#REF!=#REF!,#REF!="NAN"), OR(#REF!=#REF!,#REF!="NAN")),#REF!, 0))</f>
        <v>#REF!</v>
      </c>
      <c r="E441" t="e">
        <f>IF(#REF!="NAN","",IF(
   AND(OR(#REF!=#REF!,#REF!="NAN"),
     OR(#REF!=#REF!,#REF!="NAN"),
     OR(#REF!=#REF!,#REF!="NAN")),
   1,
   0))</f>
        <v>#REF!</v>
      </c>
      <c r="G441" t="e">
        <f>IF(OR(#REF!="UP",#REF!="DOWN"),1,0)</f>
        <v>#REF!</v>
      </c>
      <c r="H441" t="e">
        <f>IF(OR(#REF!="UP",#REF!="DOWN"),1,0)</f>
        <v>#REF!</v>
      </c>
      <c r="I441" t="e">
        <f>IF(OR(#REF!="UP",#REF!="DOWN"),1,0)</f>
        <v>#REF!</v>
      </c>
      <c r="M441" t="e">
        <f>IF(OR(#REF!="UP",#REF!="DOWN"),0,1)</f>
        <v>#REF!</v>
      </c>
      <c r="N441" t="e">
        <f>IF(OR(#REF!="UP",#REF!="DOWN"),VLOOKUP($C441,Configuración!$H$2:$K$11,3),1)</f>
        <v>#REF!</v>
      </c>
      <c r="O441" t="e">
        <f>IF(OR(#REF!="UP",#REF!="DOWN"),VLOOKUP($C441,Configuración!$H$2:$K$11,4),1)</f>
        <v>#REF!</v>
      </c>
      <c r="P441" t="e">
        <f t="shared" si="63"/>
        <v>#REF!</v>
      </c>
      <c r="Q441" t="e">
        <f t="shared" si="64"/>
        <v>#REF!</v>
      </c>
      <c r="R441" t="e">
        <f t="shared" si="72"/>
        <v>#REF!</v>
      </c>
      <c r="T441" t="e">
        <f>IF(R441&lt;&gt;0,Configuración!$E$2,0)</f>
        <v>#REF!</v>
      </c>
      <c r="U441" t="e">
        <f>IF(R441&lt;&gt;0,Configuración!$F$2,0)</f>
        <v>#REF!</v>
      </c>
      <c r="V441" t="e">
        <f>IF(R441&lt;&gt;0,Configuración!$G$2,0)</f>
        <v>#REF!</v>
      </c>
      <c r="W441" t="e">
        <f t="shared" si="65"/>
        <v>#REF!</v>
      </c>
      <c r="X441" t="e">
        <f t="shared" si="66"/>
        <v>#REF!</v>
      </c>
      <c r="Z441" t="e">
        <f t="shared" si="67"/>
        <v>#REF!</v>
      </c>
      <c r="AB441" t="e">
        <f t="shared" si="68"/>
        <v>#REF!</v>
      </c>
      <c r="AG441" t="e">
        <f t="shared" si="69"/>
        <v>#REF!</v>
      </c>
      <c r="AH441" s="5" t="e">
        <f t="shared" si="70"/>
        <v>#REF!</v>
      </c>
      <c r="AI441" t="e">
        <f t="shared" si="71"/>
        <v>#REF!</v>
      </c>
    </row>
    <row r="442" spans="4:35" x14ac:dyDescent="0.55000000000000004">
      <c r="D442" t="e">
        <f>IF(COUNTIF(#REF!,"&lt;&gt;NAN")=0, 0, IF(AND(OR(#REF!=#REF!,#REF!="NAN"), OR(#REF!=#REF!,#REF!="NAN"), OR(#REF!=#REF!,#REF!="NAN")),#REF!, 0))</f>
        <v>#REF!</v>
      </c>
      <c r="E442" t="e">
        <f>IF(#REF!="NAN","",IF(
   AND(OR(#REF!=#REF!,#REF!="NAN"),
     OR(#REF!=#REF!,#REF!="NAN"),
     OR(#REF!=#REF!,#REF!="NAN")),
   1,
   0))</f>
        <v>#REF!</v>
      </c>
      <c r="G442" t="e">
        <f>IF(OR(#REF!="UP",#REF!="DOWN"),1,0)</f>
        <v>#REF!</v>
      </c>
      <c r="H442" t="e">
        <f>IF(OR(#REF!="UP",#REF!="DOWN"),1,0)</f>
        <v>#REF!</v>
      </c>
      <c r="I442" t="e">
        <f>IF(OR(#REF!="UP",#REF!="DOWN"),1,0)</f>
        <v>#REF!</v>
      </c>
      <c r="M442" t="e">
        <f>IF(OR(#REF!="UP",#REF!="DOWN"),0,1)</f>
        <v>#REF!</v>
      </c>
      <c r="N442" t="e">
        <f>IF(OR(#REF!="UP",#REF!="DOWN"),VLOOKUP($C442,Configuración!$H$2:$K$11,3),1)</f>
        <v>#REF!</v>
      </c>
      <c r="O442" t="e">
        <f>IF(OR(#REF!="UP",#REF!="DOWN"),VLOOKUP($C442,Configuración!$H$2:$K$11,4),1)</f>
        <v>#REF!</v>
      </c>
      <c r="P442" t="e">
        <f t="shared" si="63"/>
        <v>#REF!</v>
      </c>
      <c r="Q442" t="e">
        <f t="shared" si="64"/>
        <v>#REF!</v>
      </c>
      <c r="R442" t="e">
        <f t="shared" si="72"/>
        <v>#REF!</v>
      </c>
      <c r="T442" t="e">
        <f>IF(R442&lt;&gt;0,Configuración!$E$2,0)</f>
        <v>#REF!</v>
      </c>
      <c r="U442" t="e">
        <f>IF(R442&lt;&gt;0,Configuración!$F$2,0)</f>
        <v>#REF!</v>
      </c>
      <c r="V442" t="e">
        <f>IF(R442&lt;&gt;0,Configuración!$G$2,0)</f>
        <v>#REF!</v>
      </c>
      <c r="W442" t="e">
        <f t="shared" si="65"/>
        <v>#REF!</v>
      </c>
      <c r="X442" t="e">
        <f t="shared" si="66"/>
        <v>#REF!</v>
      </c>
      <c r="Z442" t="e">
        <f t="shared" si="67"/>
        <v>#REF!</v>
      </c>
      <c r="AB442" t="e">
        <f t="shared" si="68"/>
        <v>#REF!</v>
      </c>
      <c r="AG442" t="e">
        <f t="shared" si="69"/>
        <v>#REF!</v>
      </c>
      <c r="AH442" s="5" t="e">
        <f t="shared" si="70"/>
        <v>#REF!</v>
      </c>
      <c r="AI442" t="e">
        <f t="shared" si="71"/>
        <v>#REF!</v>
      </c>
    </row>
    <row r="443" spans="4:35" x14ac:dyDescent="0.55000000000000004">
      <c r="D443" t="e">
        <f>IF(COUNTIF(#REF!,"&lt;&gt;NAN")=0, 0, IF(AND(OR(#REF!=#REF!,#REF!="NAN"), OR(#REF!=#REF!,#REF!="NAN"), OR(#REF!=#REF!,#REF!="NAN")),#REF!, 0))</f>
        <v>#REF!</v>
      </c>
      <c r="E443" t="e">
        <f>IF(#REF!="NAN","",IF(
   AND(OR(#REF!=#REF!,#REF!="NAN"),
     OR(#REF!=#REF!,#REF!="NAN"),
     OR(#REF!=#REF!,#REF!="NAN")),
   1,
   0))</f>
        <v>#REF!</v>
      </c>
      <c r="G443" t="e">
        <f>IF(OR(#REF!="UP",#REF!="DOWN"),1,0)</f>
        <v>#REF!</v>
      </c>
      <c r="H443" t="e">
        <f>IF(OR(#REF!="UP",#REF!="DOWN"),1,0)</f>
        <v>#REF!</v>
      </c>
      <c r="I443" t="e">
        <f>IF(OR(#REF!="UP",#REF!="DOWN"),1,0)</f>
        <v>#REF!</v>
      </c>
      <c r="M443" t="e">
        <f>IF(OR(#REF!="UP",#REF!="DOWN"),0,1)</f>
        <v>#REF!</v>
      </c>
      <c r="N443" t="e">
        <f>IF(OR(#REF!="UP",#REF!="DOWN"),VLOOKUP($C443,Configuración!$H$2:$K$11,3),1)</f>
        <v>#REF!</v>
      </c>
      <c r="O443" t="e">
        <f>IF(OR(#REF!="UP",#REF!="DOWN"),VLOOKUP($C443,Configuración!$H$2:$K$11,4),1)</f>
        <v>#REF!</v>
      </c>
      <c r="P443" t="e">
        <f t="shared" si="63"/>
        <v>#REF!</v>
      </c>
      <c r="Q443" t="e">
        <f t="shared" si="64"/>
        <v>#REF!</v>
      </c>
      <c r="R443" t="e">
        <f t="shared" si="72"/>
        <v>#REF!</v>
      </c>
      <c r="T443" t="e">
        <f>IF(R443&lt;&gt;0,Configuración!$E$2,0)</f>
        <v>#REF!</v>
      </c>
      <c r="U443" t="e">
        <f>IF(R443&lt;&gt;0,Configuración!$F$2,0)</f>
        <v>#REF!</v>
      </c>
      <c r="V443" t="e">
        <f>IF(R443&lt;&gt;0,Configuración!$G$2,0)</f>
        <v>#REF!</v>
      </c>
      <c r="W443" t="e">
        <f t="shared" si="65"/>
        <v>#REF!</v>
      </c>
      <c r="X443" t="e">
        <f t="shared" si="66"/>
        <v>#REF!</v>
      </c>
      <c r="Z443" t="e">
        <f t="shared" si="67"/>
        <v>#REF!</v>
      </c>
      <c r="AB443" t="e">
        <f t="shared" si="68"/>
        <v>#REF!</v>
      </c>
      <c r="AG443" t="e">
        <f t="shared" si="69"/>
        <v>#REF!</v>
      </c>
      <c r="AH443" s="5" t="e">
        <f t="shared" si="70"/>
        <v>#REF!</v>
      </c>
      <c r="AI443" t="e">
        <f t="shared" si="71"/>
        <v>#REF!</v>
      </c>
    </row>
    <row r="444" spans="4:35" x14ac:dyDescent="0.55000000000000004">
      <c r="D444" t="e">
        <f>IF(COUNTIF(#REF!,"&lt;&gt;NAN")=0, 0, IF(AND(OR(#REF!=#REF!,#REF!="NAN"), OR(#REF!=#REF!,#REF!="NAN"), OR(#REF!=#REF!,#REF!="NAN")),#REF!, 0))</f>
        <v>#REF!</v>
      </c>
      <c r="E444" t="e">
        <f>IF(#REF!="NAN","",IF(
   AND(OR(#REF!=#REF!,#REF!="NAN"),
     OR(#REF!=#REF!,#REF!="NAN"),
     OR(#REF!=#REF!,#REF!="NAN")),
   1,
   0))</f>
        <v>#REF!</v>
      </c>
      <c r="G444" t="e">
        <f>IF(OR(#REF!="UP",#REF!="DOWN"),1,0)</f>
        <v>#REF!</v>
      </c>
      <c r="H444" t="e">
        <f>IF(OR(#REF!="UP",#REF!="DOWN"),1,0)</f>
        <v>#REF!</v>
      </c>
      <c r="I444" t="e">
        <f>IF(OR(#REF!="UP",#REF!="DOWN"),1,0)</f>
        <v>#REF!</v>
      </c>
      <c r="M444" t="e">
        <f>IF(OR(#REF!="UP",#REF!="DOWN"),0,1)</f>
        <v>#REF!</v>
      </c>
      <c r="N444" t="e">
        <f>IF(OR(#REF!="UP",#REF!="DOWN"),VLOOKUP($C444,Configuración!$H$2:$K$11,3),1)</f>
        <v>#REF!</v>
      </c>
      <c r="O444" t="e">
        <f>IF(OR(#REF!="UP",#REF!="DOWN"),VLOOKUP($C444,Configuración!$H$2:$K$11,4),1)</f>
        <v>#REF!</v>
      </c>
      <c r="P444" t="e">
        <f t="shared" si="63"/>
        <v>#REF!</v>
      </c>
      <c r="Q444" t="e">
        <f t="shared" si="64"/>
        <v>#REF!</v>
      </c>
      <c r="R444" t="e">
        <f t="shared" si="72"/>
        <v>#REF!</v>
      </c>
      <c r="T444" t="e">
        <f>IF(R444&lt;&gt;0,Configuración!$E$2,0)</f>
        <v>#REF!</v>
      </c>
      <c r="U444" t="e">
        <f>IF(R444&lt;&gt;0,Configuración!$F$2,0)</f>
        <v>#REF!</v>
      </c>
      <c r="V444" t="e">
        <f>IF(R444&lt;&gt;0,Configuración!$G$2,0)</f>
        <v>#REF!</v>
      </c>
      <c r="W444" t="e">
        <f t="shared" si="65"/>
        <v>#REF!</v>
      </c>
      <c r="X444" t="e">
        <f t="shared" si="66"/>
        <v>#REF!</v>
      </c>
      <c r="Z444" t="e">
        <f t="shared" si="67"/>
        <v>#REF!</v>
      </c>
      <c r="AB444" t="e">
        <f t="shared" si="68"/>
        <v>#REF!</v>
      </c>
      <c r="AG444" t="e">
        <f t="shared" si="69"/>
        <v>#REF!</v>
      </c>
      <c r="AH444" s="5" t="e">
        <f t="shared" si="70"/>
        <v>#REF!</v>
      </c>
      <c r="AI444" t="e">
        <f t="shared" si="71"/>
        <v>#REF!</v>
      </c>
    </row>
    <row r="445" spans="4:35" x14ac:dyDescent="0.55000000000000004">
      <c r="D445" t="e">
        <f>IF(COUNTIF(#REF!,"&lt;&gt;NAN")=0, 0, IF(AND(OR(#REF!=#REF!,#REF!="NAN"), OR(#REF!=#REF!,#REF!="NAN"), OR(#REF!=#REF!,#REF!="NAN")),#REF!, 0))</f>
        <v>#REF!</v>
      </c>
      <c r="E445" t="e">
        <f>IF(#REF!="NAN","",IF(
   AND(OR(#REF!=#REF!,#REF!="NAN"),
     OR(#REF!=#REF!,#REF!="NAN"),
     OR(#REF!=#REF!,#REF!="NAN")),
   1,
   0))</f>
        <v>#REF!</v>
      </c>
      <c r="G445" t="e">
        <f>IF(OR(#REF!="UP",#REF!="DOWN"),1,0)</f>
        <v>#REF!</v>
      </c>
      <c r="H445" t="e">
        <f>IF(OR(#REF!="UP",#REF!="DOWN"),1,0)</f>
        <v>#REF!</v>
      </c>
      <c r="I445" t="e">
        <f>IF(OR(#REF!="UP",#REF!="DOWN"),1,0)</f>
        <v>#REF!</v>
      </c>
      <c r="M445" t="e">
        <f>IF(OR(#REF!="UP",#REF!="DOWN"),0,1)</f>
        <v>#REF!</v>
      </c>
      <c r="N445" t="e">
        <f>IF(OR(#REF!="UP",#REF!="DOWN"),VLOOKUP($C445,Configuración!$H$2:$K$11,3),1)</f>
        <v>#REF!</v>
      </c>
      <c r="O445" t="e">
        <f>IF(OR(#REF!="UP",#REF!="DOWN"),VLOOKUP($C445,Configuración!$H$2:$K$11,4),1)</f>
        <v>#REF!</v>
      </c>
      <c r="P445" t="e">
        <f t="shared" si="63"/>
        <v>#REF!</v>
      </c>
      <c r="Q445" t="e">
        <f t="shared" si="64"/>
        <v>#REF!</v>
      </c>
      <c r="R445" t="e">
        <f t="shared" si="72"/>
        <v>#REF!</v>
      </c>
      <c r="T445" t="e">
        <f>IF(R445&lt;&gt;0,Configuración!$E$2,0)</f>
        <v>#REF!</v>
      </c>
      <c r="U445" t="e">
        <f>IF(R445&lt;&gt;0,Configuración!$F$2,0)</f>
        <v>#REF!</v>
      </c>
      <c r="V445" t="e">
        <f>IF(R445&lt;&gt;0,Configuración!$G$2,0)</f>
        <v>#REF!</v>
      </c>
      <c r="W445" t="e">
        <f t="shared" si="65"/>
        <v>#REF!</v>
      </c>
      <c r="X445" t="e">
        <f t="shared" si="66"/>
        <v>#REF!</v>
      </c>
      <c r="Z445" t="e">
        <f t="shared" si="67"/>
        <v>#REF!</v>
      </c>
      <c r="AB445" t="e">
        <f t="shared" si="68"/>
        <v>#REF!</v>
      </c>
      <c r="AG445" t="e">
        <f t="shared" si="69"/>
        <v>#REF!</v>
      </c>
      <c r="AH445" s="5" t="e">
        <f t="shared" si="70"/>
        <v>#REF!</v>
      </c>
      <c r="AI445" t="e">
        <f t="shared" si="71"/>
        <v>#REF!</v>
      </c>
    </row>
    <row r="446" spans="4:35" x14ac:dyDescent="0.55000000000000004">
      <c r="D446" t="e">
        <f>IF(COUNTIF(#REF!,"&lt;&gt;NAN")=0, 0, IF(AND(OR(#REF!=#REF!,#REF!="NAN"), OR(#REF!=#REF!,#REF!="NAN"), OR(#REF!=#REF!,#REF!="NAN")),#REF!, 0))</f>
        <v>#REF!</v>
      </c>
      <c r="E446" t="e">
        <f>IF(#REF!="NAN","",IF(
   AND(OR(#REF!=#REF!,#REF!="NAN"),
     OR(#REF!=#REF!,#REF!="NAN"),
     OR(#REF!=#REF!,#REF!="NAN")),
   1,
   0))</f>
        <v>#REF!</v>
      </c>
      <c r="G446" t="e">
        <f>IF(OR(#REF!="UP",#REF!="DOWN"),1,0)</f>
        <v>#REF!</v>
      </c>
      <c r="H446" t="e">
        <f>IF(OR(#REF!="UP",#REF!="DOWN"),1,0)</f>
        <v>#REF!</v>
      </c>
      <c r="I446" t="e">
        <f>IF(OR(#REF!="UP",#REF!="DOWN"),1,0)</f>
        <v>#REF!</v>
      </c>
      <c r="M446" t="e">
        <f>IF(OR(#REF!="UP",#REF!="DOWN"),0,1)</f>
        <v>#REF!</v>
      </c>
      <c r="N446" t="e">
        <f>IF(OR(#REF!="UP",#REF!="DOWN"),VLOOKUP($C446,Configuración!$H$2:$K$11,3),1)</f>
        <v>#REF!</v>
      </c>
      <c r="O446" t="e">
        <f>IF(OR(#REF!="UP",#REF!="DOWN"),VLOOKUP($C446,Configuración!$H$2:$K$11,4),1)</f>
        <v>#REF!</v>
      </c>
      <c r="P446" t="e">
        <f t="shared" si="63"/>
        <v>#REF!</v>
      </c>
      <c r="Q446" t="e">
        <f t="shared" si="64"/>
        <v>#REF!</v>
      </c>
      <c r="R446" t="e">
        <f t="shared" si="72"/>
        <v>#REF!</v>
      </c>
      <c r="T446" t="e">
        <f>IF(R446&lt;&gt;0,Configuración!$E$2,0)</f>
        <v>#REF!</v>
      </c>
      <c r="U446" t="e">
        <f>IF(R446&lt;&gt;0,Configuración!$F$2,0)</f>
        <v>#REF!</v>
      </c>
      <c r="V446" t="e">
        <f>IF(R446&lt;&gt;0,Configuración!$G$2,0)</f>
        <v>#REF!</v>
      </c>
      <c r="W446" t="e">
        <f t="shared" si="65"/>
        <v>#REF!</v>
      </c>
      <c r="X446" t="e">
        <f t="shared" si="66"/>
        <v>#REF!</v>
      </c>
      <c r="Z446" t="e">
        <f t="shared" si="67"/>
        <v>#REF!</v>
      </c>
      <c r="AB446" t="e">
        <f t="shared" si="68"/>
        <v>#REF!</v>
      </c>
      <c r="AG446" t="e">
        <f t="shared" si="69"/>
        <v>#REF!</v>
      </c>
      <c r="AH446" s="5" t="e">
        <f t="shared" si="70"/>
        <v>#REF!</v>
      </c>
      <c r="AI446" t="e">
        <f t="shared" si="71"/>
        <v>#REF!</v>
      </c>
    </row>
    <row r="447" spans="4:35" x14ac:dyDescent="0.55000000000000004">
      <c r="D447" t="e">
        <f>IF(COUNTIF(#REF!,"&lt;&gt;NAN")=0, 0, IF(AND(OR(#REF!=#REF!,#REF!="NAN"), OR(#REF!=#REF!,#REF!="NAN"), OR(#REF!=#REF!,#REF!="NAN")),#REF!, 0))</f>
        <v>#REF!</v>
      </c>
      <c r="E447" t="e">
        <f>IF(#REF!="NAN","",IF(
   AND(OR(#REF!=#REF!,#REF!="NAN"),
     OR(#REF!=#REF!,#REF!="NAN"),
     OR(#REF!=#REF!,#REF!="NAN")),
   1,
   0))</f>
        <v>#REF!</v>
      </c>
      <c r="G447" t="e">
        <f>IF(OR(#REF!="UP",#REF!="DOWN"),1,0)</f>
        <v>#REF!</v>
      </c>
      <c r="H447" t="e">
        <f>IF(OR(#REF!="UP",#REF!="DOWN"),1,0)</f>
        <v>#REF!</v>
      </c>
      <c r="I447" t="e">
        <f>IF(OR(#REF!="UP",#REF!="DOWN"),1,0)</f>
        <v>#REF!</v>
      </c>
      <c r="M447" t="e">
        <f>IF(OR(#REF!="UP",#REF!="DOWN"),0,1)</f>
        <v>#REF!</v>
      </c>
      <c r="N447" t="e">
        <f>IF(OR(#REF!="UP",#REF!="DOWN"),VLOOKUP($C447,Configuración!$H$2:$K$11,3),1)</f>
        <v>#REF!</v>
      </c>
      <c r="O447" t="e">
        <f>IF(OR(#REF!="UP",#REF!="DOWN"),VLOOKUP($C447,Configuración!$H$2:$K$11,4),1)</f>
        <v>#REF!</v>
      </c>
      <c r="P447" t="e">
        <f t="shared" si="63"/>
        <v>#REF!</v>
      </c>
      <c r="Q447" t="e">
        <f t="shared" si="64"/>
        <v>#REF!</v>
      </c>
      <c r="R447" t="e">
        <f t="shared" si="72"/>
        <v>#REF!</v>
      </c>
      <c r="T447" t="e">
        <f>IF(R447&lt;&gt;0,Configuración!$E$2,0)</f>
        <v>#REF!</v>
      </c>
      <c r="U447" t="e">
        <f>IF(R447&lt;&gt;0,Configuración!$F$2,0)</f>
        <v>#REF!</v>
      </c>
      <c r="V447" t="e">
        <f>IF(R447&lt;&gt;0,Configuración!$G$2,0)</f>
        <v>#REF!</v>
      </c>
      <c r="W447" t="e">
        <f t="shared" si="65"/>
        <v>#REF!</v>
      </c>
      <c r="X447" t="e">
        <f t="shared" si="66"/>
        <v>#REF!</v>
      </c>
      <c r="Z447" t="e">
        <f t="shared" si="67"/>
        <v>#REF!</v>
      </c>
      <c r="AB447" t="e">
        <f t="shared" si="68"/>
        <v>#REF!</v>
      </c>
      <c r="AG447" t="e">
        <f t="shared" si="69"/>
        <v>#REF!</v>
      </c>
      <c r="AH447" s="5" t="e">
        <f t="shared" si="70"/>
        <v>#REF!</v>
      </c>
      <c r="AI447" t="e">
        <f t="shared" si="71"/>
        <v>#REF!</v>
      </c>
    </row>
    <row r="448" spans="4:35" x14ac:dyDescent="0.55000000000000004">
      <c r="D448" t="e">
        <f>IF(COUNTIF(#REF!,"&lt;&gt;NAN")=0, 0, IF(AND(OR(#REF!=#REF!,#REF!="NAN"), OR(#REF!=#REF!,#REF!="NAN"), OR(#REF!=#REF!,#REF!="NAN")),#REF!, 0))</f>
        <v>#REF!</v>
      </c>
      <c r="E448" t="e">
        <f>IF(#REF!="NAN","",IF(
   AND(OR(#REF!=#REF!,#REF!="NAN"),
     OR(#REF!=#REF!,#REF!="NAN"),
     OR(#REF!=#REF!,#REF!="NAN")),
   1,
   0))</f>
        <v>#REF!</v>
      </c>
      <c r="G448" t="e">
        <f>IF(OR(#REF!="UP",#REF!="DOWN"),1,0)</f>
        <v>#REF!</v>
      </c>
      <c r="H448" t="e">
        <f>IF(OR(#REF!="UP",#REF!="DOWN"),1,0)</f>
        <v>#REF!</v>
      </c>
      <c r="I448" t="e">
        <f>IF(OR(#REF!="UP",#REF!="DOWN"),1,0)</f>
        <v>#REF!</v>
      </c>
      <c r="M448" t="e">
        <f>IF(OR(#REF!="UP",#REF!="DOWN"),0,1)</f>
        <v>#REF!</v>
      </c>
      <c r="N448" t="e">
        <f>IF(OR(#REF!="UP",#REF!="DOWN"),VLOOKUP($C448,Configuración!$H$2:$K$11,3),1)</f>
        <v>#REF!</v>
      </c>
      <c r="O448" t="e">
        <f>IF(OR(#REF!="UP",#REF!="DOWN"),VLOOKUP($C448,Configuración!$H$2:$K$11,4),1)</f>
        <v>#REF!</v>
      </c>
      <c r="P448" t="e">
        <f t="shared" si="63"/>
        <v>#REF!</v>
      </c>
      <c r="Q448" t="e">
        <f t="shared" si="64"/>
        <v>#REF!</v>
      </c>
      <c r="R448" t="e">
        <f t="shared" si="72"/>
        <v>#REF!</v>
      </c>
      <c r="T448" t="e">
        <f>IF(R448&lt;&gt;0,Configuración!$E$2,0)</f>
        <v>#REF!</v>
      </c>
      <c r="U448" t="e">
        <f>IF(R448&lt;&gt;0,Configuración!$F$2,0)</f>
        <v>#REF!</v>
      </c>
      <c r="V448" t="e">
        <f>IF(R448&lt;&gt;0,Configuración!$G$2,0)</f>
        <v>#REF!</v>
      </c>
      <c r="W448" t="e">
        <f t="shared" si="65"/>
        <v>#REF!</v>
      </c>
      <c r="X448" t="e">
        <f t="shared" si="66"/>
        <v>#REF!</v>
      </c>
      <c r="Z448" t="e">
        <f t="shared" si="67"/>
        <v>#REF!</v>
      </c>
      <c r="AB448" t="e">
        <f t="shared" si="68"/>
        <v>#REF!</v>
      </c>
      <c r="AG448" t="e">
        <f t="shared" si="69"/>
        <v>#REF!</v>
      </c>
      <c r="AH448" s="5" t="e">
        <f t="shared" si="70"/>
        <v>#REF!</v>
      </c>
      <c r="AI448" t="e">
        <f t="shared" si="71"/>
        <v>#REF!</v>
      </c>
    </row>
    <row r="449" spans="4:35" x14ac:dyDescent="0.55000000000000004">
      <c r="D449" t="e">
        <f>IF(COUNTIF(#REF!,"&lt;&gt;NAN")=0, 0, IF(AND(OR(#REF!=#REF!,#REF!="NAN"), OR(#REF!=#REF!,#REF!="NAN"), OR(#REF!=#REF!,#REF!="NAN")),#REF!, 0))</f>
        <v>#REF!</v>
      </c>
      <c r="E449" t="e">
        <f>IF(#REF!="NAN","",IF(
   AND(OR(#REF!=#REF!,#REF!="NAN"),
     OR(#REF!=#REF!,#REF!="NAN"),
     OR(#REF!=#REF!,#REF!="NAN")),
   1,
   0))</f>
        <v>#REF!</v>
      </c>
      <c r="G449" t="e">
        <f>IF(OR(#REF!="UP",#REF!="DOWN"),1,0)</f>
        <v>#REF!</v>
      </c>
      <c r="H449" t="e">
        <f>IF(OR(#REF!="UP",#REF!="DOWN"),1,0)</f>
        <v>#REF!</v>
      </c>
      <c r="I449" t="e">
        <f>IF(OR(#REF!="UP",#REF!="DOWN"),1,0)</f>
        <v>#REF!</v>
      </c>
      <c r="M449" t="e">
        <f>IF(OR(#REF!="UP",#REF!="DOWN"),0,1)</f>
        <v>#REF!</v>
      </c>
      <c r="N449" t="e">
        <f>IF(OR(#REF!="UP",#REF!="DOWN"),VLOOKUP($C449,Configuración!$H$2:$K$11,3),1)</f>
        <v>#REF!</v>
      </c>
      <c r="O449" t="e">
        <f>IF(OR(#REF!="UP",#REF!="DOWN"),VLOOKUP($C449,Configuración!$H$2:$K$11,4),1)</f>
        <v>#REF!</v>
      </c>
      <c r="P449" t="e">
        <f t="shared" si="63"/>
        <v>#REF!</v>
      </c>
      <c r="Q449" t="e">
        <f t="shared" si="64"/>
        <v>#REF!</v>
      </c>
      <c r="R449" t="e">
        <f t="shared" si="72"/>
        <v>#REF!</v>
      </c>
      <c r="T449" t="e">
        <f>IF(R449&lt;&gt;0,Configuración!$E$2,0)</f>
        <v>#REF!</v>
      </c>
      <c r="U449" t="e">
        <f>IF(R449&lt;&gt;0,Configuración!$F$2,0)</f>
        <v>#REF!</v>
      </c>
      <c r="V449" t="e">
        <f>IF(R449&lt;&gt;0,Configuración!$G$2,0)</f>
        <v>#REF!</v>
      </c>
      <c r="W449" t="e">
        <f t="shared" si="65"/>
        <v>#REF!</v>
      </c>
      <c r="X449" t="e">
        <f t="shared" si="66"/>
        <v>#REF!</v>
      </c>
      <c r="Z449" t="e">
        <f t="shared" si="67"/>
        <v>#REF!</v>
      </c>
      <c r="AB449" t="e">
        <f t="shared" si="68"/>
        <v>#REF!</v>
      </c>
      <c r="AG449" t="e">
        <f t="shared" si="69"/>
        <v>#REF!</v>
      </c>
      <c r="AH449" s="5" t="e">
        <f t="shared" si="70"/>
        <v>#REF!</v>
      </c>
      <c r="AI449" t="e">
        <f t="shared" si="71"/>
        <v>#REF!</v>
      </c>
    </row>
    <row r="450" spans="4:35" x14ac:dyDescent="0.55000000000000004">
      <c r="D450" t="e">
        <f>IF(COUNTIF(#REF!,"&lt;&gt;NAN")=0, 0, IF(AND(OR(#REF!=#REF!,#REF!="NAN"), OR(#REF!=#REF!,#REF!="NAN"), OR(#REF!=#REF!,#REF!="NAN")),#REF!, 0))</f>
        <v>#REF!</v>
      </c>
      <c r="E450" t="e">
        <f>IF(#REF!="NAN","",IF(
   AND(OR(#REF!=#REF!,#REF!="NAN"),
     OR(#REF!=#REF!,#REF!="NAN"),
     OR(#REF!=#REF!,#REF!="NAN")),
   1,
   0))</f>
        <v>#REF!</v>
      </c>
      <c r="G450" t="e">
        <f>IF(OR(#REF!="UP",#REF!="DOWN"),1,0)</f>
        <v>#REF!</v>
      </c>
      <c r="H450" t="e">
        <f>IF(OR(#REF!="UP",#REF!="DOWN"),1,0)</f>
        <v>#REF!</v>
      </c>
      <c r="I450" t="e">
        <f>IF(OR(#REF!="UP",#REF!="DOWN"),1,0)</f>
        <v>#REF!</v>
      </c>
      <c r="M450" t="e">
        <f>IF(OR(#REF!="UP",#REF!="DOWN"),0,1)</f>
        <v>#REF!</v>
      </c>
      <c r="N450" t="e">
        <f>IF(OR(#REF!="UP",#REF!="DOWN"),VLOOKUP($C450,Configuración!$H$2:$K$11,3),1)</f>
        <v>#REF!</v>
      </c>
      <c r="O450" t="e">
        <f>IF(OR(#REF!="UP",#REF!="DOWN"),VLOOKUP($C450,Configuración!$H$2:$K$11,4),1)</f>
        <v>#REF!</v>
      </c>
      <c r="P450" t="e">
        <f t="shared" si="63"/>
        <v>#REF!</v>
      </c>
      <c r="Q450" t="e">
        <f t="shared" si="64"/>
        <v>#REF!</v>
      </c>
      <c r="R450" t="e">
        <f t="shared" si="72"/>
        <v>#REF!</v>
      </c>
      <c r="T450" t="e">
        <f>IF(R450&lt;&gt;0,Configuración!$E$2,0)</f>
        <v>#REF!</v>
      </c>
      <c r="U450" t="e">
        <f>IF(R450&lt;&gt;0,Configuración!$F$2,0)</f>
        <v>#REF!</v>
      </c>
      <c r="V450" t="e">
        <f>IF(R450&lt;&gt;0,Configuración!$G$2,0)</f>
        <v>#REF!</v>
      </c>
      <c r="W450" t="e">
        <f t="shared" si="65"/>
        <v>#REF!</v>
      </c>
      <c r="X450" t="e">
        <f t="shared" si="66"/>
        <v>#REF!</v>
      </c>
      <c r="Z450" t="e">
        <f t="shared" si="67"/>
        <v>#REF!</v>
      </c>
      <c r="AB450" t="e">
        <f t="shared" si="68"/>
        <v>#REF!</v>
      </c>
      <c r="AG450" t="e">
        <f t="shared" si="69"/>
        <v>#REF!</v>
      </c>
      <c r="AH450" s="5" t="e">
        <f t="shared" si="70"/>
        <v>#REF!</v>
      </c>
      <c r="AI450" t="e">
        <f t="shared" si="71"/>
        <v>#REF!</v>
      </c>
    </row>
    <row r="451" spans="4:35" x14ac:dyDescent="0.55000000000000004">
      <c r="D451" t="e">
        <f>IF(COUNTIF(#REF!,"&lt;&gt;NAN")=0, 0, IF(AND(OR(#REF!=#REF!,#REF!="NAN"), OR(#REF!=#REF!,#REF!="NAN"), OR(#REF!=#REF!,#REF!="NAN")),#REF!, 0))</f>
        <v>#REF!</v>
      </c>
      <c r="E451" t="e">
        <f>IF(#REF!="NAN","",IF(
   AND(OR(#REF!=#REF!,#REF!="NAN"),
     OR(#REF!=#REF!,#REF!="NAN"),
     OR(#REF!=#REF!,#REF!="NAN")),
   1,
   0))</f>
        <v>#REF!</v>
      </c>
      <c r="G451" t="e">
        <f>IF(OR(#REF!="UP",#REF!="DOWN"),1,0)</f>
        <v>#REF!</v>
      </c>
      <c r="H451" t="e">
        <f>IF(OR(#REF!="UP",#REF!="DOWN"),1,0)</f>
        <v>#REF!</v>
      </c>
      <c r="I451" t="e">
        <f>IF(OR(#REF!="UP",#REF!="DOWN"),1,0)</f>
        <v>#REF!</v>
      </c>
      <c r="M451" t="e">
        <f>IF(OR(#REF!="UP",#REF!="DOWN"),0,1)</f>
        <v>#REF!</v>
      </c>
      <c r="N451" t="e">
        <f>IF(OR(#REF!="UP",#REF!="DOWN"),VLOOKUP($C451,Configuración!$H$2:$K$11,3),1)</f>
        <v>#REF!</v>
      </c>
      <c r="O451" t="e">
        <f>IF(OR(#REF!="UP",#REF!="DOWN"),VLOOKUP($C451,Configuración!$H$2:$K$11,4),1)</f>
        <v>#REF!</v>
      </c>
      <c r="P451" t="e">
        <f t="shared" si="63"/>
        <v>#REF!</v>
      </c>
      <c r="Q451" t="e">
        <f t="shared" si="64"/>
        <v>#REF!</v>
      </c>
      <c r="R451" t="e">
        <f t="shared" si="72"/>
        <v>#REF!</v>
      </c>
      <c r="T451" t="e">
        <f>IF(R451&lt;&gt;0,Configuración!$E$2,0)</f>
        <v>#REF!</v>
      </c>
      <c r="U451" t="e">
        <f>IF(R451&lt;&gt;0,Configuración!$F$2,0)</f>
        <v>#REF!</v>
      </c>
      <c r="V451" t="e">
        <f>IF(R451&lt;&gt;0,Configuración!$G$2,0)</f>
        <v>#REF!</v>
      </c>
      <c r="W451" t="e">
        <f t="shared" si="65"/>
        <v>#REF!</v>
      </c>
      <c r="X451" t="e">
        <f t="shared" si="66"/>
        <v>#REF!</v>
      </c>
      <c r="Z451" t="e">
        <f t="shared" si="67"/>
        <v>#REF!</v>
      </c>
      <c r="AB451" t="e">
        <f t="shared" si="68"/>
        <v>#REF!</v>
      </c>
      <c r="AG451" t="e">
        <f t="shared" si="69"/>
        <v>#REF!</v>
      </c>
      <c r="AH451" s="5" t="e">
        <f t="shared" si="70"/>
        <v>#REF!</v>
      </c>
      <c r="AI451" t="e">
        <f t="shared" si="71"/>
        <v>#REF!</v>
      </c>
    </row>
    <row r="452" spans="4:35" x14ac:dyDescent="0.55000000000000004">
      <c r="D452" t="e">
        <f>IF(COUNTIF(#REF!,"&lt;&gt;NAN")=0, 0, IF(AND(OR(#REF!=#REF!,#REF!="NAN"), OR(#REF!=#REF!,#REF!="NAN"), OR(#REF!=#REF!,#REF!="NAN")),#REF!, 0))</f>
        <v>#REF!</v>
      </c>
      <c r="E452" t="e">
        <f>IF(#REF!="NAN","",IF(
   AND(OR(#REF!=#REF!,#REF!="NAN"),
     OR(#REF!=#REF!,#REF!="NAN"),
     OR(#REF!=#REF!,#REF!="NAN")),
   1,
   0))</f>
        <v>#REF!</v>
      </c>
      <c r="G452" t="e">
        <f>IF(OR(#REF!="UP",#REF!="DOWN"),1,0)</f>
        <v>#REF!</v>
      </c>
      <c r="H452" t="e">
        <f>IF(OR(#REF!="UP",#REF!="DOWN"),1,0)</f>
        <v>#REF!</v>
      </c>
      <c r="I452" t="e">
        <f>IF(OR(#REF!="UP",#REF!="DOWN"),1,0)</f>
        <v>#REF!</v>
      </c>
      <c r="M452" t="e">
        <f>IF(OR(#REF!="UP",#REF!="DOWN"),0,1)</f>
        <v>#REF!</v>
      </c>
      <c r="N452" t="e">
        <f>IF(OR(#REF!="UP",#REF!="DOWN"),VLOOKUP($C452,Configuración!$H$2:$K$11,3),1)</f>
        <v>#REF!</v>
      </c>
      <c r="O452" t="e">
        <f>IF(OR(#REF!="UP",#REF!="DOWN"),VLOOKUP($C452,Configuración!$H$2:$K$11,4),1)</f>
        <v>#REF!</v>
      </c>
      <c r="P452" t="e">
        <f t="shared" ref="P452:P482" si="73">IF(SUM(G452:I452)=0,
    0,
    IF(SUM(G452:I452)=1,
        G452*M452 + H452*N452 + I452*O452,
        IF(SUM(G452:I452)=2,
            1 - PRODUCT(
                IF(G452=1,1-M452,1),
                IF(H452=1,1-N452,1),
                IF(I452=1,1-O452,1)
            ),
            IF(SUM(G452:I452)=3,
                1 - PRODUCT(1-M452,1-N452,1-O452),
                0
            )
        )
    )
)</f>
        <v>#REF!</v>
      </c>
      <c r="Q452" t="e">
        <f t="shared" ref="Q452:Q482" si="74">P452*E452</f>
        <v>#REF!</v>
      </c>
      <c r="R452" t="e">
        <f t="shared" si="72"/>
        <v>#REF!</v>
      </c>
      <c r="T452" t="e">
        <f>IF(R452&lt;&gt;0,Configuración!$E$2,0)</f>
        <v>#REF!</v>
      </c>
      <c r="U452" t="e">
        <f>IF(R452&lt;&gt;0,Configuración!$F$2,0)</f>
        <v>#REF!</v>
      </c>
      <c r="V452" t="e">
        <f>IF(R452&lt;&gt;0,Configuración!$G$2,0)</f>
        <v>#REF!</v>
      </c>
      <c r="W452" t="e">
        <f t="shared" ref="W452:W482" si="75">IF(R452="DOWN",S452+(S452*T452/100),S452-(S452*T452/100))</f>
        <v>#REF!</v>
      </c>
      <c r="X452" t="e">
        <f t="shared" ref="X452:X482" si="76">IF(R452="DOWN",S452-(S452*U452/100),S452+(S452*U452/100))</f>
        <v>#REF!</v>
      </c>
      <c r="Z452" t="e">
        <f t="shared" ref="Z452:Z482" si="77">IF(R452="DOWN",IF(Y452 &lt; S452 * (1 - 0.01), Y452 * (1 + 0.005), ""),IF(Y452 &gt; S452 * (1 + 0.01), Y452 * (1 - 0.005), ""))</f>
        <v>#REF!</v>
      </c>
      <c r="AB452" t="e">
        <f t="shared" ref="AB452:AB482" si="78">(($B$1) *(T452))/100</f>
        <v>#REF!</v>
      </c>
      <c r="AG452" t="e">
        <f t="shared" ref="AG452:AG482" si="79">IF(R452="DOWN",(S452-AA452)/S452*1000,(AA452-S452)/S452*1000)</f>
        <v>#REF!</v>
      </c>
      <c r="AH452" s="5" t="e">
        <f t="shared" ref="AH452:AH482" si="80">AB452*(AG452)</f>
        <v>#REF!</v>
      </c>
      <c r="AI452" t="e">
        <f t="shared" ref="AI452:AI482" si="81">IF(AK452&lt;V452,"MANTENER","CERRAR")</f>
        <v>#REF!</v>
      </c>
    </row>
    <row r="453" spans="4:35" x14ac:dyDescent="0.55000000000000004">
      <c r="D453" t="e">
        <f>IF(COUNTIF(#REF!,"&lt;&gt;NAN")=0, 0, IF(AND(OR(#REF!=#REF!,#REF!="NAN"), OR(#REF!=#REF!,#REF!="NAN"), OR(#REF!=#REF!,#REF!="NAN")),#REF!, 0))</f>
        <v>#REF!</v>
      </c>
      <c r="E453" t="e">
        <f>IF(#REF!="NAN","",IF(
   AND(OR(#REF!=#REF!,#REF!="NAN"),
     OR(#REF!=#REF!,#REF!="NAN"),
     OR(#REF!=#REF!,#REF!="NAN")),
   1,
   0))</f>
        <v>#REF!</v>
      </c>
      <c r="G453" t="e">
        <f>IF(OR(#REF!="UP",#REF!="DOWN"),1,0)</f>
        <v>#REF!</v>
      </c>
      <c r="H453" t="e">
        <f>IF(OR(#REF!="UP",#REF!="DOWN"),1,0)</f>
        <v>#REF!</v>
      </c>
      <c r="I453" t="e">
        <f>IF(OR(#REF!="UP",#REF!="DOWN"),1,0)</f>
        <v>#REF!</v>
      </c>
      <c r="M453" t="e">
        <f>IF(OR(#REF!="UP",#REF!="DOWN"),0,1)</f>
        <v>#REF!</v>
      </c>
      <c r="N453" t="e">
        <f>IF(OR(#REF!="UP",#REF!="DOWN"),VLOOKUP($C453,Configuración!$H$2:$K$11,3),1)</f>
        <v>#REF!</v>
      </c>
      <c r="O453" t="e">
        <f>IF(OR(#REF!="UP",#REF!="DOWN"),VLOOKUP($C453,Configuración!$H$2:$K$11,4),1)</f>
        <v>#REF!</v>
      </c>
      <c r="P453" t="e">
        <f t="shared" si="73"/>
        <v>#REF!</v>
      </c>
      <c r="Q453" t="e">
        <f t="shared" si="74"/>
        <v>#REF!</v>
      </c>
      <c r="R453" t="e">
        <f t="shared" si="72"/>
        <v>#REF!</v>
      </c>
      <c r="T453" t="e">
        <f>IF(R453&lt;&gt;0,Configuración!$E$2,0)</f>
        <v>#REF!</v>
      </c>
      <c r="U453" t="e">
        <f>IF(R453&lt;&gt;0,Configuración!$F$2,0)</f>
        <v>#REF!</v>
      </c>
      <c r="V453" t="e">
        <f>IF(R453&lt;&gt;0,Configuración!$G$2,0)</f>
        <v>#REF!</v>
      </c>
      <c r="W453" t="e">
        <f t="shared" si="75"/>
        <v>#REF!</v>
      </c>
      <c r="X453" t="e">
        <f t="shared" si="76"/>
        <v>#REF!</v>
      </c>
      <c r="Z453" t="e">
        <f t="shared" si="77"/>
        <v>#REF!</v>
      </c>
      <c r="AB453" t="e">
        <f t="shared" si="78"/>
        <v>#REF!</v>
      </c>
      <c r="AG453" t="e">
        <f t="shared" si="79"/>
        <v>#REF!</v>
      </c>
      <c r="AH453" s="5" t="e">
        <f t="shared" si="80"/>
        <v>#REF!</v>
      </c>
      <c r="AI453" t="e">
        <f t="shared" si="81"/>
        <v>#REF!</v>
      </c>
    </row>
    <row r="454" spans="4:35" x14ac:dyDescent="0.55000000000000004">
      <c r="D454" t="e">
        <f>IF(COUNTIF(#REF!,"&lt;&gt;NAN")=0, 0, IF(AND(OR(#REF!=#REF!,#REF!="NAN"), OR(#REF!=#REF!,#REF!="NAN"), OR(#REF!=#REF!,#REF!="NAN")),#REF!, 0))</f>
        <v>#REF!</v>
      </c>
      <c r="E454" t="e">
        <f>IF(#REF!="NAN","",IF(
   AND(OR(#REF!=#REF!,#REF!="NAN"),
     OR(#REF!=#REF!,#REF!="NAN"),
     OR(#REF!=#REF!,#REF!="NAN")),
   1,
   0))</f>
        <v>#REF!</v>
      </c>
      <c r="G454" t="e">
        <f>IF(OR(#REF!="UP",#REF!="DOWN"),1,0)</f>
        <v>#REF!</v>
      </c>
      <c r="H454" t="e">
        <f>IF(OR(#REF!="UP",#REF!="DOWN"),1,0)</f>
        <v>#REF!</v>
      </c>
      <c r="I454" t="e">
        <f>IF(OR(#REF!="UP",#REF!="DOWN"),1,0)</f>
        <v>#REF!</v>
      </c>
      <c r="M454" t="e">
        <f>IF(OR(#REF!="UP",#REF!="DOWN"),0,1)</f>
        <v>#REF!</v>
      </c>
      <c r="N454" t="e">
        <f>IF(OR(#REF!="UP",#REF!="DOWN"),VLOOKUP($C454,Configuración!$H$2:$K$11,3),1)</f>
        <v>#REF!</v>
      </c>
      <c r="O454" t="e">
        <f>IF(OR(#REF!="UP",#REF!="DOWN"),VLOOKUP($C454,Configuración!$H$2:$K$11,4),1)</f>
        <v>#REF!</v>
      </c>
      <c r="P454" t="e">
        <f t="shared" si="73"/>
        <v>#REF!</v>
      </c>
      <c r="Q454" t="e">
        <f t="shared" si="74"/>
        <v>#REF!</v>
      </c>
      <c r="R454" t="e">
        <f t="shared" si="72"/>
        <v>#REF!</v>
      </c>
      <c r="T454" t="e">
        <f>IF(R454&lt;&gt;0,Configuración!$E$2,0)</f>
        <v>#REF!</v>
      </c>
      <c r="U454" t="e">
        <f>IF(R454&lt;&gt;0,Configuración!$F$2,0)</f>
        <v>#REF!</v>
      </c>
      <c r="V454" t="e">
        <f>IF(R454&lt;&gt;0,Configuración!$G$2,0)</f>
        <v>#REF!</v>
      </c>
      <c r="W454" t="e">
        <f t="shared" si="75"/>
        <v>#REF!</v>
      </c>
      <c r="X454" t="e">
        <f t="shared" si="76"/>
        <v>#REF!</v>
      </c>
      <c r="Z454" t="e">
        <f t="shared" si="77"/>
        <v>#REF!</v>
      </c>
      <c r="AB454" t="e">
        <f t="shared" si="78"/>
        <v>#REF!</v>
      </c>
      <c r="AG454" t="e">
        <f t="shared" si="79"/>
        <v>#REF!</v>
      </c>
      <c r="AH454" s="5" t="e">
        <f t="shared" si="80"/>
        <v>#REF!</v>
      </c>
      <c r="AI454" t="e">
        <f t="shared" si="81"/>
        <v>#REF!</v>
      </c>
    </row>
    <row r="455" spans="4:35" x14ac:dyDescent="0.55000000000000004">
      <c r="D455" t="e">
        <f>IF(COUNTIF(#REF!,"&lt;&gt;NAN")=0, 0, IF(AND(OR(#REF!=#REF!,#REF!="NAN"), OR(#REF!=#REF!,#REF!="NAN"), OR(#REF!=#REF!,#REF!="NAN")),#REF!, 0))</f>
        <v>#REF!</v>
      </c>
      <c r="E455" t="e">
        <f>IF(#REF!="NAN","",IF(
   AND(OR(#REF!=#REF!,#REF!="NAN"),
     OR(#REF!=#REF!,#REF!="NAN"),
     OR(#REF!=#REF!,#REF!="NAN")),
   1,
   0))</f>
        <v>#REF!</v>
      </c>
      <c r="G455" t="e">
        <f>IF(OR(#REF!="UP",#REF!="DOWN"),1,0)</f>
        <v>#REF!</v>
      </c>
      <c r="H455" t="e">
        <f>IF(OR(#REF!="UP",#REF!="DOWN"),1,0)</f>
        <v>#REF!</v>
      </c>
      <c r="I455" t="e">
        <f>IF(OR(#REF!="UP",#REF!="DOWN"),1,0)</f>
        <v>#REF!</v>
      </c>
      <c r="M455" t="e">
        <f>IF(OR(#REF!="UP",#REF!="DOWN"),0,1)</f>
        <v>#REF!</v>
      </c>
      <c r="N455" t="e">
        <f>IF(OR(#REF!="UP",#REF!="DOWN"),VLOOKUP($C455,Configuración!$H$2:$K$11,3),1)</f>
        <v>#REF!</v>
      </c>
      <c r="O455" t="e">
        <f>IF(OR(#REF!="UP",#REF!="DOWN"),VLOOKUP($C455,Configuración!$H$2:$K$11,4),1)</f>
        <v>#REF!</v>
      </c>
      <c r="P455" t="e">
        <f t="shared" si="73"/>
        <v>#REF!</v>
      </c>
      <c r="Q455" t="e">
        <f t="shared" si="74"/>
        <v>#REF!</v>
      </c>
      <c r="R455" t="e">
        <f t="shared" si="72"/>
        <v>#REF!</v>
      </c>
      <c r="T455" t="e">
        <f>IF(R455&lt;&gt;0,Configuración!$E$2,0)</f>
        <v>#REF!</v>
      </c>
      <c r="U455" t="e">
        <f>IF(R455&lt;&gt;0,Configuración!$F$2,0)</f>
        <v>#REF!</v>
      </c>
      <c r="V455" t="e">
        <f>IF(R455&lt;&gt;0,Configuración!$G$2,0)</f>
        <v>#REF!</v>
      </c>
      <c r="W455" t="e">
        <f t="shared" si="75"/>
        <v>#REF!</v>
      </c>
      <c r="X455" t="e">
        <f t="shared" si="76"/>
        <v>#REF!</v>
      </c>
      <c r="Z455" t="e">
        <f t="shared" si="77"/>
        <v>#REF!</v>
      </c>
      <c r="AB455" t="e">
        <f t="shared" si="78"/>
        <v>#REF!</v>
      </c>
      <c r="AG455" t="e">
        <f t="shared" si="79"/>
        <v>#REF!</v>
      </c>
      <c r="AH455" s="5" t="e">
        <f t="shared" si="80"/>
        <v>#REF!</v>
      </c>
      <c r="AI455" t="e">
        <f t="shared" si="81"/>
        <v>#REF!</v>
      </c>
    </row>
    <row r="456" spans="4:35" x14ac:dyDescent="0.55000000000000004">
      <c r="D456" t="e">
        <f>IF(COUNTIF(#REF!,"&lt;&gt;NAN")=0, 0, IF(AND(OR(#REF!=#REF!,#REF!="NAN"), OR(#REF!=#REF!,#REF!="NAN"), OR(#REF!=#REF!,#REF!="NAN")),#REF!, 0))</f>
        <v>#REF!</v>
      </c>
      <c r="E456" t="e">
        <f>IF(#REF!="NAN","",IF(
   AND(OR(#REF!=#REF!,#REF!="NAN"),
     OR(#REF!=#REF!,#REF!="NAN"),
     OR(#REF!=#REF!,#REF!="NAN")),
   1,
   0))</f>
        <v>#REF!</v>
      </c>
      <c r="G456" t="e">
        <f>IF(OR(#REF!="UP",#REF!="DOWN"),1,0)</f>
        <v>#REF!</v>
      </c>
      <c r="H456" t="e">
        <f>IF(OR(#REF!="UP",#REF!="DOWN"),1,0)</f>
        <v>#REF!</v>
      </c>
      <c r="I456" t="e">
        <f>IF(OR(#REF!="UP",#REF!="DOWN"),1,0)</f>
        <v>#REF!</v>
      </c>
      <c r="M456" t="e">
        <f>IF(OR(#REF!="UP",#REF!="DOWN"),0,1)</f>
        <v>#REF!</v>
      </c>
      <c r="N456" t="e">
        <f>IF(OR(#REF!="UP",#REF!="DOWN"),VLOOKUP($C456,Configuración!$H$2:$K$11,3),1)</f>
        <v>#REF!</v>
      </c>
      <c r="O456" t="e">
        <f>IF(OR(#REF!="UP",#REF!="DOWN"),VLOOKUP($C456,Configuración!$H$2:$K$11,4),1)</f>
        <v>#REF!</v>
      </c>
      <c r="P456" t="e">
        <f t="shared" si="73"/>
        <v>#REF!</v>
      </c>
      <c r="Q456" t="e">
        <f t="shared" si="74"/>
        <v>#REF!</v>
      </c>
      <c r="R456" t="e">
        <f t="shared" si="72"/>
        <v>#REF!</v>
      </c>
      <c r="T456" t="e">
        <f>IF(R456&lt;&gt;0,Configuración!$E$2,0)</f>
        <v>#REF!</v>
      </c>
      <c r="U456" t="e">
        <f>IF(R456&lt;&gt;0,Configuración!$F$2,0)</f>
        <v>#REF!</v>
      </c>
      <c r="V456" t="e">
        <f>IF(R456&lt;&gt;0,Configuración!$G$2,0)</f>
        <v>#REF!</v>
      </c>
      <c r="W456" t="e">
        <f t="shared" si="75"/>
        <v>#REF!</v>
      </c>
      <c r="X456" t="e">
        <f t="shared" si="76"/>
        <v>#REF!</v>
      </c>
      <c r="Z456" t="e">
        <f t="shared" si="77"/>
        <v>#REF!</v>
      </c>
      <c r="AB456" t="e">
        <f t="shared" si="78"/>
        <v>#REF!</v>
      </c>
      <c r="AG456" t="e">
        <f t="shared" si="79"/>
        <v>#REF!</v>
      </c>
      <c r="AH456" s="5" t="e">
        <f t="shared" si="80"/>
        <v>#REF!</v>
      </c>
      <c r="AI456" t="e">
        <f t="shared" si="81"/>
        <v>#REF!</v>
      </c>
    </row>
    <row r="457" spans="4:35" x14ac:dyDescent="0.55000000000000004">
      <c r="D457" t="e">
        <f>IF(COUNTIF(#REF!,"&lt;&gt;NAN")=0, 0, IF(AND(OR(#REF!=#REF!,#REF!="NAN"), OR(#REF!=#REF!,#REF!="NAN"), OR(#REF!=#REF!,#REF!="NAN")),#REF!, 0))</f>
        <v>#REF!</v>
      </c>
      <c r="E457" t="e">
        <f>IF(#REF!="NAN","",IF(
   AND(OR(#REF!=#REF!,#REF!="NAN"),
     OR(#REF!=#REF!,#REF!="NAN"),
     OR(#REF!=#REF!,#REF!="NAN")),
   1,
   0))</f>
        <v>#REF!</v>
      </c>
      <c r="G457" t="e">
        <f>IF(OR(#REF!="UP",#REF!="DOWN"),1,0)</f>
        <v>#REF!</v>
      </c>
      <c r="H457" t="e">
        <f>IF(OR(#REF!="UP",#REF!="DOWN"),1,0)</f>
        <v>#REF!</v>
      </c>
      <c r="I457" t="e">
        <f>IF(OR(#REF!="UP",#REF!="DOWN"),1,0)</f>
        <v>#REF!</v>
      </c>
      <c r="M457" t="e">
        <f>IF(OR(#REF!="UP",#REF!="DOWN"),0,1)</f>
        <v>#REF!</v>
      </c>
      <c r="N457" t="e">
        <f>IF(OR(#REF!="UP",#REF!="DOWN"),VLOOKUP($C457,Configuración!$H$2:$K$11,3),1)</f>
        <v>#REF!</v>
      </c>
      <c r="O457" t="e">
        <f>IF(OR(#REF!="UP",#REF!="DOWN"),VLOOKUP($C457,Configuración!$H$2:$K$11,4),1)</f>
        <v>#REF!</v>
      </c>
      <c r="P457" t="e">
        <f t="shared" si="73"/>
        <v>#REF!</v>
      </c>
      <c r="Q457" t="e">
        <f t="shared" si="74"/>
        <v>#REF!</v>
      </c>
      <c r="R457" t="e">
        <f t="shared" si="72"/>
        <v>#REF!</v>
      </c>
      <c r="T457" t="e">
        <f>IF(R457&lt;&gt;0,Configuración!$E$2,0)</f>
        <v>#REF!</v>
      </c>
      <c r="U457" t="e">
        <f>IF(R457&lt;&gt;0,Configuración!$F$2,0)</f>
        <v>#REF!</v>
      </c>
      <c r="V457" t="e">
        <f>IF(R457&lt;&gt;0,Configuración!$G$2,0)</f>
        <v>#REF!</v>
      </c>
      <c r="W457" t="e">
        <f t="shared" si="75"/>
        <v>#REF!</v>
      </c>
      <c r="X457" t="e">
        <f t="shared" si="76"/>
        <v>#REF!</v>
      </c>
      <c r="Z457" t="e">
        <f t="shared" si="77"/>
        <v>#REF!</v>
      </c>
      <c r="AB457" t="e">
        <f t="shared" si="78"/>
        <v>#REF!</v>
      </c>
      <c r="AG457" t="e">
        <f t="shared" si="79"/>
        <v>#REF!</v>
      </c>
      <c r="AH457" s="5" t="e">
        <f t="shared" si="80"/>
        <v>#REF!</v>
      </c>
      <c r="AI457" t="e">
        <f t="shared" si="81"/>
        <v>#REF!</v>
      </c>
    </row>
    <row r="458" spans="4:35" x14ac:dyDescent="0.55000000000000004">
      <c r="D458" t="e">
        <f>IF(COUNTIF(#REF!,"&lt;&gt;NAN")=0, 0, IF(AND(OR(#REF!=#REF!,#REF!="NAN"), OR(#REF!=#REF!,#REF!="NAN"), OR(#REF!=#REF!,#REF!="NAN")),#REF!, 0))</f>
        <v>#REF!</v>
      </c>
      <c r="E458" t="e">
        <f>IF(#REF!="NAN","",IF(
   AND(OR(#REF!=#REF!,#REF!="NAN"),
     OR(#REF!=#REF!,#REF!="NAN"),
     OR(#REF!=#REF!,#REF!="NAN")),
   1,
   0))</f>
        <v>#REF!</v>
      </c>
      <c r="G458" t="e">
        <f>IF(OR(#REF!="UP",#REF!="DOWN"),1,0)</f>
        <v>#REF!</v>
      </c>
      <c r="H458" t="e">
        <f>IF(OR(#REF!="UP",#REF!="DOWN"),1,0)</f>
        <v>#REF!</v>
      </c>
      <c r="I458" t="e">
        <f>IF(OR(#REF!="UP",#REF!="DOWN"),1,0)</f>
        <v>#REF!</v>
      </c>
      <c r="M458" t="e">
        <f>IF(OR(#REF!="UP",#REF!="DOWN"),0,1)</f>
        <v>#REF!</v>
      </c>
      <c r="N458" t="e">
        <f>IF(OR(#REF!="UP",#REF!="DOWN"),VLOOKUP($C458,Configuración!$H$2:$K$11,3),1)</f>
        <v>#REF!</v>
      </c>
      <c r="O458" t="e">
        <f>IF(OR(#REF!="UP",#REF!="DOWN"),VLOOKUP($C458,Configuración!$H$2:$K$11,4),1)</f>
        <v>#REF!</v>
      </c>
      <c r="P458" t="e">
        <f t="shared" si="73"/>
        <v>#REF!</v>
      </c>
      <c r="Q458" t="e">
        <f t="shared" si="74"/>
        <v>#REF!</v>
      </c>
      <c r="R458" t="e">
        <f t="shared" si="72"/>
        <v>#REF!</v>
      </c>
      <c r="T458" t="e">
        <f>IF(R458&lt;&gt;0,Configuración!$E$2,0)</f>
        <v>#REF!</v>
      </c>
      <c r="U458" t="e">
        <f>IF(R458&lt;&gt;0,Configuración!$F$2,0)</f>
        <v>#REF!</v>
      </c>
      <c r="V458" t="e">
        <f>IF(R458&lt;&gt;0,Configuración!$G$2,0)</f>
        <v>#REF!</v>
      </c>
      <c r="W458" t="e">
        <f t="shared" si="75"/>
        <v>#REF!</v>
      </c>
      <c r="X458" t="e">
        <f t="shared" si="76"/>
        <v>#REF!</v>
      </c>
      <c r="Z458" t="e">
        <f t="shared" si="77"/>
        <v>#REF!</v>
      </c>
      <c r="AB458" t="e">
        <f t="shared" si="78"/>
        <v>#REF!</v>
      </c>
      <c r="AG458" t="e">
        <f t="shared" si="79"/>
        <v>#REF!</v>
      </c>
      <c r="AH458" s="5" t="e">
        <f t="shared" si="80"/>
        <v>#REF!</v>
      </c>
      <c r="AI458" t="e">
        <f t="shared" si="81"/>
        <v>#REF!</v>
      </c>
    </row>
    <row r="459" spans="4:35" x14ac:dyDescent="0.55000000000000004">
      <c r="D459" t="e">
        <f>IF(COUNTIF(#REF!,"&lt;&gt;NAN")=0, 0, IF(AND(OR(#REF!=#REF!,#REF!="NAN"), OR(#REF!=#REF!,#REF!="NAN"), OR(#REF!=#REF!,#REF!="NAN")),#REF!, 0))</f>
        <v>#REF!</v>
      </c>
      <c r="E459" t="e">
        <f>IF(#REF!="NAN","",IF(
   AND(OR(#REF!=#REF!,#REF!="NAN"),
     OR(#REF!=#REF!,#REF!="NAN"),
     OR(#REF!=#REF!,#REF!="NAN")),
   1,
   0))</f>
        <v>#REF!</v>
      </c>
      <c r="G459" t="e">
        <f>IF(OR(#REF!="UP",#REF!="DOWN"),1,0)</f>
        <v>#REF!</v>
      </c>
      <c r="H459" t="e">
        <f>IF(OR(#REF!="UP",#REF!="DOWN"),1,0)</f>
        <v>#REF!</v>
      </c>
      <c r="I459" t="e">
        <f>IF(OR(#REF!="UP",#REF!="DOWN"),1,0)</f>
        <v>#REF!</v>
      </c>
      <c r="M459" t="e">
        <f>IF(OR(#REF!="UP",#REF!="DOWN"),0,1)</f>
        <v>#REF!</v>
      </c>
      <c r="N459" t="e">
        <f>IF(OR(#REF!="UP",#REF!="DOWN"),VLOOKUP($C459,Configuración!$H$2:$K$11,3),1)</f>
        <v>#REF!</v>
      </c>
      <c r="O459" t="e">
        <f>IF(OR(#REF!="UP",#REF!="DOWN"),VLOOKUP($C459,Configuración!$H$2:$K$11,4),1)</f>
        <v>#REF!</v>
      </c>
      <c r="P459" t="e">
        <f t="shared" si="73"/>
        <v>#REF!</v>
      </c>
      <c r="Q459" t="e">
        <f t="shared" si="74"/>
        <v>#REF!</v>
      </c>
      <c r="R459" t="e">
        <f t="shared" si="72"/>
        <v>#REF!</v>
      </c>
      <c r="T459" t="e">
        <f>IF(R459&lt;&gt;0,Configuración!$E$2,0)</f>
        <v>#REF!</v>
      </c>
      <c r="U459" t="e">
        <f>IF(R459&lt;&gt;0,Configuración!$F$2,0)</f>
        <v>#REF!</v>
      </c>
      <c r="V459" t="e">
        <f>IF(R459&lt;&gt;0,Configuración!$G$2,0)</f>
        <v>#REF!</v>
      </c>
      <c r="W459" t="e">
        <f t="shared" si="75"/>
        <v>#REF!</v>
      </c>
      <c r="X459" t="e">
        <f t="shared" si="76"/>
        <v>#REF!</v>
      </c>
      <c r="Z459" t="e">
        <f t="shared" si="77"/>
        <v>#REF!</v>
      </c>
      <c r="AB459" t="e">
        <f t="shared" si="78"/>
        <v>#REF!</v>
      </c>
      <c r="AG459" t="e">
        <f t="shared" si="79"/>
        <v>#REF!</v>
      </c>
      <c r="AH459" s="5" t="e">
        <f t="shared" si="80"/>
        <v>#REF!</v>
      </c>
      <c r="AI459" t="e">
        <f t="shared" si="81"/>
        <v>#REF!</v>
      </c>
    </row>
    <row r="460" spans="4:35" x14ac:dyDescent="0.55000000000000004">
      <c r="D460" t="e">
        <f>IF(COUNTIF(#REF!,"&lt;&gt;NAN")=0, 0, IF(AND(OR(#REF!=#REF!,#REF!="NAN"), OR(#REF!=#REF!,#REF!="NAN"), OR(#REF!=#REF!,#REF!="NAN")),#REF!, 0))</f>
        <v>#REF!</v>
      </c>
      <c r="E460" t="e">
        <f>IF(#REF!="NAN","",IF(
   AND(OR(#REF!=#REF!,#REF!="NAN"),
     OR(#REF!=#REF!,#REF!="NAN"),
     OR(#REF!=#REF!,#REF!="NAN")),
   1,
   0))</f>
        <v>#REF!</v>
      </c>
      <c r="G460" t="e">
        <f>IF(OR(#REF!="UP",#REF!="DOWN"),1,0)</f>
        <v>#REF!</v>
      </c>
      <c r="H460" t="e">
        <f>IF(OR(#REF!="UP",#REF!="DOWN"),1,0)</f>
        <v>#REF!</v>
      </c>
      <c r="I460" t="e">
        <f>IF(OR(#REF!="UP",#REF!="DOWN"),1,0)</f>
        <v>#REF!</v>
      </c>
      <c r="M460" t="e">
        <f>IF(OR(#REF!="UP",#REF!="DOWN"),0,1)</f>
        <v>#REF!</v>
      </c>
      <c r="N460" t="e">
        <f>IF(OR(#REF!="UP",#REF!="DOWN"),VLOOKUP($C460,Configuración!$H$2:$K$11,3),1)</f>
        <v>#REF!</v>
      </c>
      <c r="O460" t="e">
        <f>IF(OR(#REF!="UP",#REF!="DOWN"),VLOOKUP($C460,Configuración!$H$2:$K$11,4),1)</f>
        <v>#REF!</v>
      </c>
      <c r="P460" t="e">
        <f t="shared" si="73"/>
        <v>#REF!</v>
      </c>
      <c r="Q460" t="e">
        <f t="shared" si="74"/>
        <v>#REF!</v>
      </c>
      <c r="R460" t="e">
        <f t="shared" si="72"/>
        <v>#REF!</v>
      </c>
      <c r="T460" t="e">
        <f>IF(R460&lt;&gt;0,Configuración!$E$2,0)</f>
        <v>#REF!</v>
      </c>
      <c r="U460" t="e">
        <f>IF(R460&lt;&gt;0,Configuración!$F$2,0)</f>
        <v>#REF!</v>
      </c>
      <c r="V460" t="e">
        <f>IF(R460&lt;&gt;0,Configuración!$G$2,0)</f>
        <v>#REF!</v>
      </c>
      <c r="W460" t="e">
        <f t="shared" si="75"/>
        <v>#REF!</v>
      </c>
      <c r="X460" t="e">
        <f t="shared" si="76"/>
        <v>#REF!</v>
      </c>
      <c r="Z460" t="e">
        <f t="shared" si="77"/>
        <v>#REF!</v>
      </c>
      <c r="AB460" t="e">
        <f t="shared" si="78"/>
        <v>#REF!</v>
      </c>
      <c r="AG460" t="e">
        <f t="shared" si="79"/>
        <v>#REF!</v>
      </c>
      <c r="AH460" s="5" t="e">
        <f t="shared" si="80"/>
        <v>#REF!</v>
      </c>
      <c r="AI460" t="e">
        <f t="shared" si="81"/>
        <v>#REF!</v>
      </c>
    </row>
    <row r="461" spans="4:35" x14ac:dyDescent="0.55000000000000004">
      <c r="D461" t="e">
        <f>IF(COUNTIF(#REF!,"&lt;&gt;NAN")=0, 0, IF(AND(OR(#REF!=#REF!,#REF!="NAN"), OR(#REF!=#REF!,#REF!="NAN"), OR(#REF!=#REF!,#REF!="NAN")),#REF!, 0))</f>
        <v>#REF!</v>
      </c>
      <c r="E461" t="e">
        <f>IF(#REF!="NAN","",IF(
   AND(OR(#REF!=#REF!,#REF!="NAN"),
     OR(#REF!=#REF!,#REF!="NAN"),
     OR(#REF!=#REF!,#REF!="NAN")),
   1,
   0))</f>
        <v>#REF!</v>
      </c>
      <c r="G461" t="e">
        <f>IF(OR(#REF!="UP",#REF!="DOWN"),1,0)</f>
        <v>#REF!</v>
      </c>
      <c r="H461" t="e">
        <f>IF(OR(#REF!="UP",#REF!="DOWN"),1,0)</f>
        <v>#REF!</v>
      </c>
      <c r="I461" t="e">
        <f>IF(OR(#REF!="UP",#REF!="DOWN"),1,0)</f>
        <v>#REF!</v>
      </c>
      <c r="M461" t="e">
        <f>IF(OR(#REF!="UP",#REF!="DOWN"),0,1)</f>
        <v>#REF!</v>
      </c>
      <c r="N461" t="e">
        <f>IF(OR(#REF!="UP",#REF!="DOWN"),VLOOKUP($C461,Configuración!$H$2:$K$11,3),1)</f>
        <v>#REF!</v>
      </c>
      <c r="O461" t="e">
        <f>IF(OR(#REF!="UP",#REF!="DOWN"),VLOOKUP($C461,Configuración!$H$2:$K$11,4),1)</f>
        <v>#REF!</v>
      </c>
      <c r="P461" t="e">
        <f t="shared" si="73"/>
        <v>#REF!</v>
      </c>
      <c r="Q461" t="e">
        <f t="shared" si="74"/>
        <v>#REF!</v>
      </c>
      <c r="R461" t="e">
        <f t="shared" si="72"/>
        <v>#REF!</v>
      </c>
      <c r="T461" t="e">
        <f>IF(R461&lt;&gt;0,Configuración!$E$2,0)</f>
        <v>#REF!</v>
      </c>
      <c r="U461" t="e">
        <f>IF(R461&lt;&gt;0,Configuración!$F$2,0)</f>
        <v>#REF!</v>
      </c>
      <c r="V461" t="e">
        <f>IF(R461&lt;&gt;0,Configuración!$G$2,0)</f>
        <v>#REF!</v>
      </c>
      <c r="W461" t="e">
        <f t="shared" si="75"/>
        <v>#REF!</v>
      </c>
      <c r="X461" t="e">
        <f t="shared" si="76"/>
        <v>#REF!</v>
      </c>
      <c r="Z461" t="e">
        <f t="shared" si="77"/>
        <v>#REF!</v>
      </c>
      <c r="AB461" t="e">
        <f t="shared" si="78"/>
        <v>#REF!</v>
      </c>
      <c r="AG461" t="e">
        <f t="shared" si="79"/>
        <v>#REF!</v>
      </c>
      <c r="AH461" s="5" t="e">
        <f t="shared" si="80"/>
        <v>#REF!</v>
      </c>
      <c r="AI461" t="e">
        <f t="shared" si="81"/>
        <v>#REF!</v>
      </c>
    </row>
    <row r="462" spans="4:35" x14ac:dyDescent="0.55000000000000004">
      <c r="D462" t="e">
        <f>IF(COUNTIF(#REF!,"&lt;&gt;NAN")=0, 0, IF(AND(OR(#REF!=#REF!,#REF!="NAN"), OR(#REF!=#REF!,#REF!="NAN"), OR(#REF!=#REF!,#REF!="NAN")),#REF!, 0))</f>
        <v>#REF!</v>
      </c>
      <c r="E462" t="e">
        <f>IF(#REF!="NAN","",IF(
   AND(OR(#REF!=#REF!,#REF!="NAN"),
     OR(#REF!=#REF!,#REF!="NAN"),
     OR(#REF!=#REF!,#REF!="NAN")),
   1,
   0))</f>
        <v>#REF!</v>
      </c>
      <c r="G462" t="e">
        <f>IF(OR(#REF!="UP",#REF!="DOWN"),1,0)</f>
        <v>#REF!</v>
      </c>
      <c r="H462" t="e">
        <f>IF(OR(#REF!="UP",#REF!="DOWN"),1,0)</f>
        <v>#REF!</v>
      </c>
      <c r="I462" t="e">
        <f>IF(OR(#REF!="UP",#REF!="DOWN"),1,0)</f>
        <v>#REF!</v>
      </c>
      <c r="M462" t="e">
        <f>IF(OR(#REF!="UP",#REF!="DOWN"),0,1)</f>
        <v>#REF!</v>
      </c>
      <c r="N462" t="e">
        <f>IF(OR(#REF!="UP",#REF!="DOWN"),VLOOKUP($C462,Configuración!$H$2:$K$11,3),1)</f>
        <v>#REF!</v>
      </c>
      <c r="O462" t="e">
        <f>IF(OR(#REF!="UP",#REF!="DOWN"),VLOOKUP($C462,Configuración!$H$2:$K$11,4),1)</f>
        <v>#REF!</v>
      </c>
      <c r="P462" t="e">
        <f t="shared" si="73"/>
        <v>#REF!</v>
      </c>
      <c r="Q462" t="e">
        <f t="shared" si="74"/>
        <v>#REF!</v>
      </c>
      <c r="R462" t="e">
        <f t="shared" si="72"/>
        <v>#REF!</v>
      </c>
      <c r="T462" t="e">
        <f>IF(R462&lt;&gt;0,Configuración!$E$2,0)</f>
        <v>#REF!</v>
      </c>
      <c r="U462" t="e">
        <f>IF(R462&lt;&gt;0,Configuración!$F$2,0)</f>
        <v>#REF!</v>
      </c>
      <c r="V462" t="e">
        <f>IF(R462&lt;&gt;0,Configuración!$G$2,0)</f>
        <v>#REF!</v>
      </c>
      <c r="W462" t="e">
        <f t="shared" si="75"/>
        <v>#REF!</v>
      </c>
      <c r="X462" t="e">
        <f t="shared" si="76"/>
        <v>#REF!</v>
      </c>
      <c r="Z462" t="e">
        <f t="shared" si="77"/>
        <v>#REF!</v>
      </c>
      <c r="AB462" t="e">
        <f t="shared" si="78"/>
        <v>#REF!</v>
      </c>
      <c r="AG462" t="e">
        <f t="shared" si="79"/>
        <v>#REF!</v>
      </c>
      <c r="AH462" s="5" t="e">
        <f t="shared" si="80"/>
        <v>#REF!</v>
      </c>
      <c r="AI462" t="e">
        <f t="shared" si="81"/>
        <v>#REF!</v>
      </c>
    </row>
    <row r="463" spans="4:35" x14ac:dyDescent="0.55000000000000004">
      <c r="D463" t="e">
        <f>IF(COUNTIF(#REF!,"&lt;&gt;NAN")=0, 0, IF(AND(OR(#REF!=#REF!,#REF!="NAN"), OR(#REF!=#REF!,#REF!="NAN"), OR(#REF!=#REF!,#REF!="NAN")),#REF!, 0))</f>
        <v>#REF!</v>
      </c>
      <c r="E463" t="e">
        <f>IF(#REF!="NAN","",IF(
   AND(OR(#REF!=#REF!,#REF!="NAN"),
     OR(#REF!=#REF!,#REF!="NAN"),
     OR(#REF!=#REF!,#REF!="NAN")),
   1,
   0))</f>
        <v>#REF!</v>
      </c>
      <c r="G463" t="e">
        <f>IF(OR(#REF!="UP",#REF!="DOWN"),1,0)</f>
        <v>#REF!</v>
      </c>
      <c r="H463" t="e">
        <f>IF(OR(#REF!="UP",#REF!="DOWN"),1,0)</f>
        <v>#REF!</v>
      </c>
      <c r="I463" t="e">
        <f>IF(OR(#REF!="UP",#REF!="DOWN"),1,0)</f>
        <v>#REF!</v>
      </c>
      <c r="M463" t="e">
        <f>IF(OR(#REF!="UP",#REF!="DOWN"),0,1)</f>
        <v>#REF!</v>
      </c>
      <c r="N463" t="e">
        <f>IF(OR(#REF!="UP",#REF!="DOWN"),VLOOKUP($C463,Configuración!$H$2:$K$11,3),1)</f>
        <v>#REF!</v>
      </c>
      <c r="O463" t="e">
        <f>IF(OR(#REF!="UP",#REF!="DOWN"),VLOOKUP($C463,Configuración!$H$2:$K$11,4),1)</f>
        <v>#REF!</v>
      </c>
      <c r="P463" t="e">
        <f t="shared" si="73"/>
        <v>#REF!</v>
      </c>
      <c r="Q463" t="e">
        <f t="shared" si="74"/>
        <v>#REF!</v>
      </c>
      <c r="R463" t="e">
        <f t="shared" si="72"/>
        <v>#REF!</v>
      </c>
      <c r="T463" t="e">
        <f>IF(R463&lt;&gt;0,Configuración!$E$2,0)</f>
        <v>#REF!</v>
      </c>
      <c r="U463" t="e">
        <f>IF(R463&lt;&gt;0,Configuración!$F$2,0)</f>
        <v>#REF!</v>
      </c>
      <c r="V463" t="e">
        <f>IF(R463&lt;&gt;0,Configuración!$G$2,0)</f>
        <v>#REF!</v>
      </c>
      <c r="W463" t="e">
        <f t="shared" si="75"/>
        <v>#REF!</v>
      </c>
      <c r="X463" t="e">
        <f t="shared" si="76"/>
        <v>#REF!</v>
      </c>
      <c r="Z463" t="e">
        <f t="shared" si="77"/>
        <v>#REF!</v>
      </c>
      <c r="AB463" t="e">
        <f t="shared" si="78"/>
        <v>#REF!</v>
      </c>
      <c r="AG463" t="e">
        <f t="shared" si="79"/>
        <v>#REF!</v>
      </c>
      <c r="AH463" s="5" t="e">
        <f t="shared" si="80"/>
        <v>#REF!</v>
      </c>
      <c r="AI463" t="e">
        <f t="shared" si="81"/>
        <v>#REF!</v>
      </c>
    </row>
    <row r="464" spans="4:35" x14ac:dyDescent="0.55000000000000004">
      <c r="D464" t="e">
        <f>IF(COUNTIF(#REF!,"&lt;&gt;NAN")=0, 0, IF(AND(OR(#REF!=#REF!,#REF!="NAN"), OR(#REF!=#REF!,#REF!="NAN"), OR(#REF!=#REF!,#REF!="NAN")),#REF!, 0))</f>
        <v>#REF!</v>
      </c>
      <c r="E464" t="e">
        <f>IF(#REF!="NAN","",IF(
   AND(OR(#REF!=#REF!,#REF!="NAN"),
     OR(#REF!=#REF!,#REF!="NAN"),
     OR(#REF!=#REF!,#REF!="NAN")),
   1,
   0))</f>
        <v>#REF!</v>
      </c>
      <c r="G464" t="e">
        <f>IF(OR(#REF!="UP",#REF!="DOWN"),1,0)</f>
        <v>#REF!</v>
      </c>
      <c r="H464" t="e">
        <f>IF(OR(#REF!="UP",#REF!="DOWN"),1,0)</f>
        <v>#REF!</v>
      </c>
      <c r="I464" t="e">
        <f>IF(OR(#REF!="UP",#REF!="DOWN"),1,0)</f>
        <v>#REF!</v>
      </c>
      <c r="M464" t="e">
        <f>IF(OR(#REF!="UP",#REF!="DOWN"),0,1)</f>
        <v>#REF!</v>
      </c>
      <c r="N464" t="e">
        <f>IF(OR(#REF!="UP",#REF!="DOWN"),VLOOKUP($C464,Configuración!$H$2:$K$11,3),1)</f>
        <v>#REF!</v>
      </c>
      <c r="O464" t="e">
        <f>IF(OR(#REF!="UP",#REF!="DOWN"),VLOOKUP($C464,Configuración!$H$2:$K$11,4),1)</f>
        <v>#REF!</v>
      </c>
      <c r="P464" t="e">
        <f t="shared" si="73"/>
        <v>#REF!</v>
      </c>
      <c r="Q464" t="e">
        <f t="shared" si="74"/>
        <v>#REF!</v>
      </c>
      <c r="R464" t="e">
        <f t="shared" si="72"/>
        <v>#REF!</v>
      </c>
      <c r="T464" t="e">
        <f>IF(R464&lt;&gt;0,Configuración!$E$2,0)</f>
        <v>#REF!</v>
      </c>
      <c r="U464" t="e">
        <f>IF(R464&lt;&gt;0,Configuración!$F$2,0)</f>
        <v>#REF!</v>
      </c>
      <c r="V464" t="e">
        <f>IF(R464&lt;&gt;0,Configuración!$G$2,0)</f>
        <v>#REF!</v>
      </c>
      <c r="W464" t="e">
        <f t="shared" si="75"/>
        <v>#REF!</v>
      </c>
      <c r="X464" t="e">
        <f t="shared" si="76"/>
        <v>#REF!</v>
      </c>
      <c r="Z464" t="e">
        <f t="shared" si="77"/>
        <v>#REF!</v>
      </c>
      <c r="AB464" t="e">
        <f t="shared" si="78"/>
        <v>#REF!</v>
      </c>
      <c r="AG464" t="e">
        <f t="shared" si="79"/>
        <v>#REF!</v>
      </c>
      <c r="AH464" s="5" t="e">
        <f t="shared" si="80"/>
        <v>#REF!</v>
      </c>
      <c r="AI464" t="e">
        <f t="shared" si="81"/>
        <v>#REF!</v>
      </c>
    </row>
    <row r="465" spans="4:35" x14ac:dyDescent="0.55000000000000004">
      <c r="D465" t="e">
        <f>IF(COUNTIF(#REF!,"&lt;&gt;NAN")=0, 0, IF(AND(OR(#REF!=#REF!,#REF!="NAN"), OR(#REF!=#REF!,#REF!="NAN"), OR(#REF!=#REF!,#REF!="NAN")),#REF!, 0))</f>
        <v>#REF!</v>
      </c>
      <c r="E465" t="e">
        <f>IF(#REF!="NAN","",IF(
   AND(OR(#REF!=#REF!,#REF!="NAN"),
     OR(#REF!=#REF!,#REF!="NAN"),
     OR(#REF!=#REF!,#REF!="NAN")),
   1,
   0))</f>
        <v>#REF!</v>
      </c>
      <c r="G465" t="e">
        <f>IF(OR(#REF!="UP",#REF!="DOWN"),1,0)</f>
        <v>#REF!</v>
      </c>
      <c r="H465" t="e">
        <f>IF(OR(#REF!="UP",#REF!="DOWN"),1,0)</f>
        <v>#REF!</v>
      </c>
      <c r="I465" t="e">
        <f>IF(OR(#REF!="UP",#REF!="DOWN"),1,0)</f>
        <v>#REF!</v>
      </c>
      <c r="M465" t="e">
        <f>IF(OR(#REF!="UP",#REF!="DOWN"),0,1)</f>
        <v>#REF!</v>
      </c>
      <c r="N465" t="e">
        <f>IF(OR(#REF!="UP",#REF!="DOWN"),VLOOKUP($C465,Configuración!$H$2:$K$11,3),1)</f>
        <v>#REF!</v>
      </c>
      <c r="O465" t="e">
        <f>IF(OR(#REF!="UP",#REF!="DOWN"),VLOOKUP($C465,Configuración!$H$2:$K$11,4),1)</f>
        <v>#REF!</v>
      </c>
      <c r="P465" t="e">
        <f t="shared" si="73"/>
        <v>#REF!</v>
      </c>
      <c r="Q465" t="e">
        <f t="shared" si="74"/>
        <v>#REF!</v>
      </c>
      <c r="R465" t="e">
        <f t="shared" si="72"/>
        <v>#REF!</v>
      </c>
      <c r="T465" t="e">
        <f>IF(R465&lt;&gt;0,Configuración!$E$2,0)</f>
        <v>#REF!</v>
      </c>
      <c r="U465" t="e">
        <f>IF(R465&lt;&gt;0,Configuración!$F$2,0)</f>
        <v>#REF!</v>
      </c>
      <c r="V465" t="e">
        <f>IF(R465&lt;&gt;0,Configuración!$G$2,0)</f>
        <v>#REF!</v>
      </c>
      <c r="W465" t="e">
        <f t="shared" si="75"/>
        <v>#REF!</v>
      </c>
      <c r="X465" t="e">
        <f t="shared" si="76"/>
        <v>#REF!</v>
      </c>
      <c r="Z465" t="e">
        <f t="shared" si="77"/>
        <v>#REF!</v>
      </c>
      <c r="AB465" t="e">
        <f t="shared" si="78"/>
        <v>#REF!</v>
      </c>
      <c r="AG465" t="e">
        <f t="shared" si="79"/>
        <v>#REF!</v>
      </c>
      <c r="AH465" s="5" t="e">
        <f t="shared" si="80"/>
        <v>#REF!</v>
      </c>
      <c r="AI465" t="e">
        <f t="shared" si="81"/>
        <v>#REF!</v>
      </c>
    </row>
    <row r="466" spans="4:35" x14ac:dyDescent="0.55000000000000004">
      <c r="D466" t="e">
        <f>IF(COUNTIF(#REF!,"&lt;&gt;NAN")=0, 0, IF(AND(OR(#REF!=#REF!,#REF!="NAN"), OR(#REF!=#REF!,#REF!="NAN"), OR(#REF!=#REF!,#REF!="NAN")),#REF!, 0))</f>
        <v>#REF!</v>
      </c>
      <c r="E466" t="e">
        <f>IF(#REF!="NAN","",IF(
   AND(OR(#REF!=#REF!,#REF!="NAN"),
     OR(#REF!=#REF!,#REF!="NAN"),
     OR(#REF!=#REF!,#REF!="NAN")),
   1,
   0))</f>
        <v>#REF!</v>
      </c>
      <c r="G466" t="e">
        <f>IF(OR(#REF!="UP",#REF!="DOWN"),1,0)</f>
        <v>#REF!</v>
      </c>
      <c r="H466" t="e">
        <f>IF(OR(#REF!="UP",#REF!="DOWN"),1,0)</f>
        <v>#REF!</v>
      </c>
      <c r="I466" t="e">
        <f>IF(OR(#REF!="UP",#REF!="DOWN"),1,0)</f>
        <v>#REF!</v>
      </c>
      <c r="M466" t="e">
        <f>IF(OR(#REF!="UP",#REF!="DOWN"),0,1)</f>
        <v>#REF!</v>
      </c>
      <c r="N466" t="e">
        <f>IF(OR(#REF!="UP",#REF!="DOWN"),VLOOKUP($C466,Configuración!$H$2:$K$11,3),1)</f>
        <v>#REF!</v>
      </c>
      <c r="O466" t="e">
        <f>IF(OR(#REF!="UP",#REF!="DOWN"),VLOOKUP($C466,Configuración!$H$2:$K$11,4),1)</f>
        <v>#REF!</v>
      </c>
      <c r="P466" t="e">
        <f t="shared" si="73"/>
        <v>#REF!</v>
      </c>
      <c r="Q466" t="e">
        <f t="shared" si="74"/>
        <v>#REF!</v>
      </c>
      <c r="R466" t="e">
        <f t="shared" si="72"/>
        <v>#REF!</v>
      </c>
      <c r="T466" t="e">
        <f>IF(R466&lt;&gt;0,Configuración!$E$2,0)</f>
        <v>#REF!</v>
      </c>
      <c r="U466" t="e">
        <f>IF(R466&lt;&gt;0,Configuración!$F$2,0)</f>
        <v>#REF!</v>
      </c>
      <c r="V466" t="e">
        <f>IF(R466&lt;&gt;0,Configuración!$G$2,0)</f>
        <v>#REF!</v>
      </c>
      <c r="W466" t="e">
        <f t="shared" si="75"/>
        <v>#REF!</v>
      </c>
      <c r="X466" t="e">
        <f t="shared" si="76"/>
        <v>#REF!</v>
      </c>
      <c r="Z466" t="e">
        <f t="shared" si="77"/>
        <v>#REF!</v>
      </c>
      <c r="AB466" t="e">
        <f t="shared" si="78"/>
        <v>#REF!</v>
      </c>
      <c r="AG466" t="e">
        <f t="shared" si="79"/>
        <v>#REF!</v>
      </c>
      <c r="AH466" s="5" t="e">
        <f t="shared" si="80"/>
        <v>#REF!</v>
      </c>
      <c r="AI466" t="e">
        <f t="shared" si="81"/>
        <v>#REF!</v>
      </c>
    </row>
    <row r="467" spans="4:35" x14ac:dyDescent="0.55000000000000004">
      <c r="D467" t="e">
        <f>IF(COUNTIF(#REF!,"&lt;&gt;NAN")=0, 0, IF(AND(OR(#REF!=#REF!,#REF!="NAN"), OR(#REF!=#REF!,#REF!="NAN"), OR(#REF!=#REF!,#REF!="NAN")),#REF!, 0))</f>
        <v>#REF!</v>
      </c>
      <c r="E467" t="e">
        <f>IF(#REF!="NAN","",IF(
   AND(OR(#REF!=#REF!,#REF!="NAN"),
     OR(#REF!=#REF!,#REF!="NAN"),
     OR(#REF!=#REF!,#REF!="NAN")),
   1,
   0))</f>
        <v>#REF!</v>
      </c>
      <c r="G467" t="e">
        <f>IF(OR(#REF!="UP",#REF!="DOWN"),1,0)</f>
        <v>#REF!</v>
      </c>
      <c r="H467" t="e">
        <f>IF(OR(#REF!="UP",#REF!="DOWN"),1,0)</f>
        <v>#REF!</v>
      </c>
      <c r="I467" t="e">
        <f>IF(OR(#REF!="UP",#REF!="DOWN"),1,0)</f>
        <v>#REF!</v>
      </c>
      <c r="M467" t="e">
        <f>IF(OR(#REF!="UP",#REF!="DOWN"),0,1)</f>
        <v>#REF!</v>
      </c>
      <c r="N467" t="e">
        <f>IF(OR(#REF!="UP",#REF!="DOWN"),VLOOKUP($C467,Configuración!$H$2:$K$11,3),1)</f>
        <v>#REF!</v>
      </c>
      <c r="O467" t="e">
        <f>IF(OR(#REF!="UP",#REF!="DOWN"),VLOOKUP($C467,Configuración!$H$2:$K$11,4),1)</f>
        <v>#REF!</v>
      </c>
      <c r="P467" t="e">
        <f t="shared" si="73"/>
        <v>#REF!</v>
      </c>
      <c r="Q467" t="e">
        <f t="shared" si="74"/>
        <v>#REF!</v>
      </c>
      <c r="R467" t="e">
        <f t="shared" si="72"/>
        <v>#REF!</v>
      </c>
      <c r="T467" t="e">
        <f>IF(R467&lt;&gt;0,Configuración!$E$2,0)</f>
        <v>#REF!</v>
      </c>
      <c r="U467" t="e">
        <f>IF(R467&lt;&gt;0,Configuración!$F$2,0)</f>
        <v>#REF!</v>
      </c>
      <c r="V467" t="e">
        <f>IF(R467&lt;&gt;0,Configuración!$G$2,0)</f>
        <v>#REF!</v>
      </c>
      <c r="W467" t="e">
        <f t="shared" si="75"/>
        <v>#REF!</v>
      </c>
      <c r="X467" t="e">
        <f t="shared" si="76"/>
        <v>#REF!</v>
      </c>
      <c r="Z467" t="e">
        <f t="shared" si="77"/>
        <v>#REF!</v>
      </c>
      <c r="AB467" t="e">
        <f t="shared" si="78"/>
        <v>#REF!</v>
      </c>
      <c r="AG467" t="e">
        <f t="shared" si="79"/>
        <v>#REF!</v>
      </c>
      <c r="AH467" s="5" t="e">
        <f t="shared" si="80"/>
        <v>#REF!</v>
      </c>
      <c r="AI467" t="e">
        <f t="shared" si="81"/>
        <v>#REF!</v>
      </c>
    </row>
    <row r="468" spans="4:35" x14ac:dyDescent="0.55000000000000004">
      <c r="D468" t="e">
        <f>IF(COUNTIF(#REF!,"&lt;&gt;NAN")=0, 0, IF(AND(OR(#REF!=#REF!,#REF!="NAN"), OR(#REF!=#REF!,#REF!="NAN"), OR(#REF!=#REF!,#REF!="NAN")),#REF!, 0))</f>
        <v>#REF!</v>
      </c>
      <c r="E468" t="e">
        <f>IF(#REF!="NAN","",IF(
   AND(OR(#REF!=#REF!,#REF!="NAN"),
     OR(#REF!=#REF!,#REF!="NAN"),
     OR(#REF!=#REF!,#REF!="NAN")),
   1,
   0))</f>
        <v>#REF!</v>
      </c>
      <c r="G468" t="e">
        <f>IF(OR(#REF!="UP",#REF!="DOWN"),1,0)</f>
        <v>#REF!</v>
      </c>
      <c r="H468" t="e">
        <f>IF(OR(#REF!="UP",#REF!="DOWN"),1,0)</f>
        <v>#REF!</v>
      </c>
      <c r="I468" t="e">
        <f>IF(OR(#REF!="UP",#REF!="DOWN"),1,0)</f>
        <v>#REF!</v>
      </c>
      <c r="M468" t="e">
        <f>IF(OR(#REF!="UP",#REF!="DOWN"),0,1)</f>
        <v>#REF!</v>
      </c>
      <c r="N468" t="e">
        <f>IF(OR(#REF!="UP",#REF!="DOWN"),VLOOKUP($C468,Configuración!$H$2:$K$11,3),1)</f>
        <v>#REF!</v>
      </c>
      <c r="O468" t="e">
        <f>IF(OR(#REF!="UP",#REF!="DOWN"),VLOOKUP($C468,Configuración!$H$2:$K$11,4),1)</f>
        <v>#REF!</v>
      </c>
      <c r="P468" t="e">
        <f t="shared" si="73"/>
        <v>#REF!</v>
      </c>
      <c r="Q468" t="e">
        <f t="shared" si="74"/>
        <v>#REF!</v>
      </c>
      <c r="R468" t="e">
        <f t="shared" si="72"/>
        <v>#REF!</v>
      </c>
      <c r="T468" t="e">
        <f>IF(R468&lt;&gt;0,Configuración!$E$2,0)</f>
        <v>#REF!</v>
      </c>
      <c r="U468" t="e">
        <f>IF(R468&lt;&gt;0,Configuración!$F$2,0)</f>
        <v>#REF!</v>
      </c>
      <c r="V468" t="e">
        <f>IF(R468&lt;&gt;0,Configuración!$G$2,0)</f>
        <v>#REF!</v>
      </c>
      <c r="W468" t="e">
        <f t="shared" si="75"/>
        <v>#REF!</v>
      </c>
      <c r="X468" t="e">
        <f t="shared" si="76"/>
        <v>#REF!</v>
      </c>
      <c r="Z468" t="e">
        <f t="shared" si="77"/>
        <v>#REF!</v>
      </c>
      <c r="AB468" t="e">
        <f t="shared" si="78"/>
        <v>#REF!</v>
      </c>
      <c r="AG468" t="e">
        <f t="shared" si="79"/>
        <v>#REF!</v>
      </c>
      <c r="AH468" s="5" t="e">
        <f t="shared" si="80"/>
        <v>#REF!</v>
      </c>
      <c r="AI468" t="e">
        <f t="shared" si="81"/>
        <v>#REF!</v>
      </c>
    </row>
    <row r="469" spans="4:35" x14ac:dyDescent="0.55000000000000004">
      <c r="D469" t="e">
        <f>IF(COUNTIF(#REF!,"&lt;&gt;NAN")=0, 0, IF(AND(OR(#REF!=#REF!,#REF!="NAN"), OR(#REF!=#REF!,#REF!="NAN"), OR(#REF!=#REF!,#REF!="NAN")),#REF!, 0))</f>
        <v>#REF!</v>
      </c>
      <c r="E469" t="e">
        <f>IF(#REF!="NAN","",IF(
   AND(OR(#REF!=#REF!,#REF!="NAN"),
     OR(#REF!=#REF!,#REF!="NAN"),
     OR(#REF!=#REF!,#REF!="NAN")),
   1,
   0))</f>
        <v>#REF!</v>
      </c>
      <c r="G469" t="e">
        <f>IF(OR(#REF!="UP",#REF!="DOWN"),1,0)</f>
        <v>#REF!</v>
      </c>
      <c r="H469" t="e">
        <f>IF(OR(#REF!="UP",#REF!="DOWN"),1,0)</f>
        <v>#REF!</v>
      </c>
      <c r="I469" t="e">
        <f>IF(OR(#REF!="UP",#REF!="DOWN"),1,0)</f>
        <v>#REF!</v>
      </c>
      <c r="M469" t="e">
        <f>IF(OR(#REF!="UP",#REF!="DOWN"),0,1)</f>
        <v>#REF!</v>
      </c>
      <c r="N469" t="e">
        <f>IF(OR(#REF!="UP",#REF!="DOWN"),VLOOKUP($C469,Configuración!$H$2:$K$11,3),1)</f>
        <v>#REF!</v>
      </c>
      <c r="O469" t="e">
        <f>IF(OR(#REF!="UP",#REF!="DOWN"),VLOOKUP($C469,Configuración!$H$2:$K$11,4),1)</f>
        <v>#REF!</v>
      </c>
      <c r="P469" t="e">
        <f t="shared" si="73"/>
        <v>#REF!</v>
      </c>
      <c r="Q469" t="e">
        <f t="shared" si="74"/>
        <v>#REF!</v>
      </c>
      <c r="R469" t="e">
        <f t="shared" si="72"/>
        <v>#REF!</v>
      </c>
      <c r="T469" t="e">
        <f>IF(R469&lt;&gt;0,Configuración!$E$2,0)</f>
        <v>#REF!</v>
      </c>
      <c r="U469" t="e">
        <f>IF(R469&lt;&gt;0,Configuración!$F$2,0)</f>
        <v>#REF!</v>
      </c>
      <c r="V469" t="e">
        <f>IF(R469&lt;&gt;0,Configuración!$G$2,0)</f>
        <v>#REF!</v>
      </c>
      <c r="W469" t="e">
        <f t="shared" si="75"/>
        <v>#REF!</v>
      </c>
      <c r="X469" t="e">
        <f t="shared" si="76"/>
        <v>#REF!</v>
      </c>
      <c r="Z469" t="e">
        <f t="shared" si="77"/>
        <v>#REF!</v>
      </c>
      <c r="AB469" t="e">
        <f t="shared" si="78"/>
        <v>#REF!</v>
      </c>
      <c r="AG469" t="e">
        <f t="shared" si="79"/>
        <v>#REF!</v>
      </c>
      <c r="AH469" s="5" t="e">
        <f t="shared" si="80"/>
        <v>#REF!</v>
      </c>
      <c r="AI469" t="e">
        <f t="shared" si="81"/>
        <v>#REF!</v>
      </c>
    </row>
    <row r="470" spans="4:35" x14ac:dyDescent="0.55000000000000004">
      <c r="D470" t="e">
        <f>IF(COUNTIF(#REF!,"&lt;&gt;NAN")=0, 0, IF(AND(OR(#REF!=#REF!,#REF!="NAN"), OR(#REF!=#REF!,#REF!="NAN"), OR(#REF!=#REF!,#REF!="NAN")),#REF!, 0))</f>
        <v>#REF!</v>
      </c>
      <c r="E470" t="e">
        <f>IF(#REF!="NAN","",IF(
   AND(OR(#REF!=#REF!,#REF!="NAN"),
     OR(#REF!=#REF!,#REF!="NAN"),
     OR(#REF!=#REF!,#REF!="NAN")),
   1,
   0))</f>
        <v>#REF!</v>
      </c>
      <c r="G470" t="e">
        <f>IF(OR(#REF!="UP",#REF!="DOWN"),1,0)</f>
        <v>#REF!</v>
      </c>
      <c r="H470" t="e">
        <f>IF(OR(#REF!="UP",#REF!="DOWN"),1,0)</f>
        <v>#REF!</v>
      </c>
      <c r="I470" t="e">
        <f>IF(OR(#REF!="UP",#REF!="DOWN"),1,0)</f>
        <v>#REF!</v>
      </c>
      <c r="M470" t="e">
        <f>IF(OR(#REF!="UP",#REF!="DOWN"),0,1)</f>
        <v>#REF!</v>
      </c>
      <c r="N470" t="e">
        <f>IF(OR(#REF!="UP",#REF!="DOWN"),VLOOKUP($C470,Configuración!$H$2:$K$11,3),1)</f>
        <v>#REF!</v>
      </c>
      <c r="O470" t="e">
        <f>IF(OR(#REF!="UP",#REF!="DOWN"),VLOOKUP($C470,Configuración!$H$2:$K$11,4),1)</f>
        <v>#REF!</v>
      </c>
      <c r="P470" t="e">
        <f t="shared" si="73"/>
        <v>#REF!</v>
      </c>
      <c r="Q470" t="e">
        <f t="shared" si="74"/>
        <v>#REF!</v>
      </c>
      <c r="R470" t="e">
        <f t="shared" si="72"/>
        <v>#REF!</v>
      </c>
      <c r="T470" t="e">
        <f>IF(R470&lt;&gt;0,Configuración!$E$2,0)</f>
        <v>#REF!</v>
      </c>
      <c r="U470" t="e">
        <f>IF(R470&lt;&gt;0,Configuración!$F$2,0)</f>
        <v>#REF!</v>
      </c>
      <c r="V470" t="e">
        <f>IF(R470&lt;&gt;0,Configuración!$G$2,0)</f>
        <v>#REF!</v>
      </c>
      <c r="W470" t="e">
        <f t="shared" si="75"/>
        <v>#REF!</v>
      </c>
      <c r="X470" t="e">
        <f t="shared" si="76"/>
        <v>#REF!</v>
      </c>
      <c r="Z470" t="e">
        <f t="shared" si="77"/>
        <v>#REF!</v>
      </c>
      <c r="AB470" t="e">
        <f t="shared" si="78"/>
        <v>#REF!</v>
      </c>
      <c r="AG470" t="e">
        <f t="shared" si="79"/>
        <v>#REF!</v>
      </c>
      <c r="AH470" s="5" t="e">
        <f t="shared" si="80"/>
        <v>#REF!</v>
      </c>
      <c r="AI470" t="e">
        <f t="shared" si="81"/>
        <v>#REF!</v>
      </c>
    </row>
    <row r="471" spans="4:35" x14ac:dyDescent="0.55000000000000004">
      <c r="D471" t="e">
        <f>IF(COUNTIF(#REF!,"&lt;&gt;NAN")=0, 0, IF(AND(OR(#REF!=#REF!,#REF!="NAN"), OR(#REF!=#REF!,#REF!="NAN"), OR(#REF!=#REF!,#REF!="NAN")),#REF!, 0))</f>
        <v>#REF!</v>
      </c>
      <c r="E471" t="e">
        <f>IF(#REF!="NAN","",IF(
   AND(OR(#REF!=#REF!,#REF!="NAN"),
     OR(#REF!=#REF!,#REF!="NAN"),
     OR(#REF!=#REF!,#REF!="NAN")),
   1,
   0))</f>
        <v>#REF!</v>
      </c>
      <c r="G471" t="e">
        <f>IF(OR(#REF!="UP",#REF!="DOWN"),1,0)</f>
        <v>#REF!</v>
      </c>
      <c r="H471" t="e">
        <f>IF(OR(#REF!="UP",#REF!="DOWN"),1,0)</f>
        <v>#REF!</v>
      </c>
      <c r="I471" t="e">
        <f>IF(OR(#REF!="UP",#REF!="DOWN"),1,0)</f>
        <v>#REF!</v>
      </c>
      <c r="M471" t="e">
        <f>IF(OR(#REF!="UP",#REF!="DOWN"),0,1)</f>
        <v>#REF!</v>
      </c>
      <c r="N471" t="e">
        <f>IF(OR(#REF!="UP",#REF!="DOWN"),VLOOKUP($C471,Configuración!$H$2:$K$11,3),1)</f>
        <v>#REF!</v>
      </c>
      <c r="O471" t="e">
        <f>IF(OR(#REF!="UP",#REF!="DOWN"),VLOOKUP($C471,Configuración!$H$2:$K$11,4),1)</f>
        <v>#REF!</v>
      </c>
      <c r="P471" t="e">
        <f t="shared" si="73"/>
        <v>#REF!</v>
      </c>
      <c r="Q471" t="e">
        <f t="shared" si="74"/>
        <v>#REF!</v>
      </c>
      <c r="R471" t="e">
        <f t="shared" si="72"/>
        <v>#REF!</v>
      </c>
      <c r="T471" t="e">
        <f>IF(R471&lt;&gt;0,Configuración!$E$2,0)</f>
        <v>#REF!</v>
      </c>
      <c r="U471" t="e">
        <f>IF(R471&lt;&gt;0,Configuración!$F$2,0)</f>
        <v>#REF!</v>
      </c>
      <c r="V471" t="e">
        <f>IF(R471&lt;&gt;0,Configuración!$G$2,0)</f>
        <v>#REF!</v>
      </c>
      <c r="W471" t="e">
        <f t="shared" si="75"/>
        <v>#REF!</v>
      </c>
      <c r="X471" t="e">
        <f t="shared" si="76"/>
        <v>#REF!</v>
      </c>
      <c r="Z471" t="e">
        <f t="shared" si="77"/>
        <v>#REF!</v>
      </c>
      <c r="AB471" t="e">
        <f t="shared" si="78"/>
        <v>#REF!</v>
      </c>
      <c r="AG471" t="e">
        <f t="shared" si="79"/>
        <v>#REF!</v>
      </c>
      <c r="AH471" s="5" t="e">
        <f t="shared" si="80"/>
        <v>#REF!</v>
      </c>
      <c r="AI471" t="e">
        <f t="shared" si="81"/>
        <v>#REF!</v>
      </c>
    </row>
    <row r="472" spans="4:35" x14ac:dyDescent="0.55000000000000004">
      <c r="D472" t="e">
        <f>IF(COUNTIF(#REF!,"&lt;&gt;NAN")=0, 0, IF(AND(OR(#REF!=#REF!,#REF!="NAN"), OR(#REF!=#REF!,#REF!="NAN"), OR(#REF!=#REF!,#REF!="NAN")),#REF!, 0))</f>
        <v>#REF!</v>
      </c>
      <c r="E472" t="e">
        <f>IF(#REF!="NAN","",IF(
   AND(OR(#REF!=#REF!,#REF!="NAN"),
     OR(#REF!=#REF!,#REF!="NAN"),
     OR(#REF!=#REF!,#REF!="NAN")),
   1,
   0))</f>
        <v>#REF!</v>
      </c>
      <c r="G472" t="e">
        <f>IF(OR(#REF!="UP",#REF!="DOWN"),1,0)</f>
        <v>#REF!</v>
      </c>
      <c r="H472" t="e">
        <f>IF(OR(#REF!="UP",#REF!="DOWN"),1,0)</f>
        <v>#REF!</v>
      </c>
      <c r="I472" t="e">
        <f>IF(OR(#REF!="UP",#REF!="DOWN"),1,0)</f>
        <v>#REF!</v>
      </c>
      <c r="M472" t="e">
        <f>IF(OR(#REF!="UP",#REF!="DOWN"),0,1)</f>
        <v>#REF!</v>
      </c>
      <c r="N472" t="e">
        <f>IF(OR(#REF!="UP",#REF!="DOWN"),VLOOKUP($C472,Configuración!$H$2:$K$11,3),1)</f>
        <v>#REF!</v>
      </c>
      <c r="O472" t="e">
        <f>IF(OR(#REF!="UP",#REF!="DOWN"),VLOOKUP($C472,Configuración!$H$2:$K$11,4),1)</f>
        <v>#REF!</v>
      </c>
      <c r="P472" t="e">
        <f t="shared" si="73"/>
        <v>#REF!</v>
      </c>
      <c r="Q472" t="e">
        <f t="shared" si="74"/>
        <v>#REF!</v>
      </c>
      <c r="R472" t="e">
        <f t="shared" si="72"/>
        <v>#REF!</v>
      </c>
      <c r="T472" t="e">
        <f>IF(R472&lt;&gt;0,Configuración!$E$2,0)</f>
        <v>#REF!</v>
      </c>
      <c r="U472" t="e">
        <f>IF(R472&lt;&gt;0,Configuración!$F$2,0)</f>
        <v>#REF!</v>
      </c>
      <c r="V472" t="e">
        <f>IF(R472&lt;&gt;0,Configuración!$G$2,0)</f>
        <v>#REF!</v>
      </c>
      <c r="W472" t="e">
        <f t="shared" si="75"/>
        <v>#REF!</v>
      </c>
      <c r="X472" t="e">
        <f t="shared" si="76"/>
        <v>#REF!</v>
      </c>
      <c r="Z472" t="e">
        <f t="shared" si="77"/>
        <v>#REF!</v>
      </c>
      <c r="AB472" t="e">
        <f t="shared" si="78"/>
        <v>#REF!</v>
      </c>
      <c r="AG472" t="e">
        <f t="shared" si="79"/>
        <v>#REF!</v>
      </c>
      <c r="AH472" s="5" t="e">
        <f t="shared" si="80"/>
        <v>#REF!</v>
      </c>
      <c r="AI472" t="e">
        <f t="shared" si="81"/>
        <v>#REF!</v>
      </c>
    </row>
    <row r="473" spans="4:35" x14ac:dyDescent="0.55000000000000004">
      <c r="D473" t="e">
        <f>IF(COUNTIF(#REF!,"&lt;&gt;NAN")=0, 0, IF(AND(OR(#REF!=#REF!,#REF!="NAN"), OR(#REF!=#REF!,#REF!="NAN"), OR(#REF!=#REF!,#REF!="NAN")),#REF!, 0))</f>
        <v>#REF!</v>
      </c>
      <c r="E473" t="e">
        <f>IF(#REF!="NAN","",IF(
   AND(OR(#REF!=#REF!,#REF!="NAN"),
     OR(#REF!=#REF!,#REF!="NAN"),
     OR(#REF!=#REF!,#REF!="NAN")),
   1,
   0))</f>
        <v>#REF!</v>
      </c>
      <c r="G473" t="e">
        <f>IF(OR(#REF!="UP",#REF!="DOWN"),1,0)</f>
        <v>#REF!</v>
      </c>
      <c r="H473" t="e">
        <f>IF(OR(#REF!="UP",#REF!="DOWN"),1,0)</f>
        <v>#REF!</v>
      </c>
      <c r="I473" t="e">
        <f>IF(OR(#REF!="UP",#REF!="DOWN"),1,0)</f>
        <v>#REF!</v>
      </c>
      <c r="M473" t="e">
        <f>IF(OR(#REF!="UP",#REF!="DOWN"),0,1)</f>
        <v>#REF!</v>
      </c>
      <c r="N473" t="e">
        <f>IF(OR(#REF!="UP",#REF!="DOWN"),VLOOKUP($C473,Configuración!$H$2:$K$11,3),1)</f>
        <v>#REF!</v>
      </c>
      <c r="O473" t="e">
        <f>IF(OR(#REF!="UP",#REF!="DOWN"),VLOOKUP($C473,Configuración!$H$2:$K$11,4),1)</f>
        <v>#REF!</v>
      </c>
      <c r="P473" t="e">
        <f t="shared" si="73"/>
        <v>#REF!</v>
      </c>
      <c r="Q473" t="e">
        <f t="shared" si="74"/>
        <v>#REF!</v>
      </c>
      <c r="R473" t="e">
        <f t="shared" si="72"/>
        <v>#REF!</v>
      </c>
      <c r="T473" t="e">
        <f>IF(R473&lt;&gt;0,Configuración!$E$2,0)</f>
        <v>#REF!</v>
      </c>
      <c r="U473" t="e">
        <f>IF(R473&lt;&gt;0,Configuración!$F$2,0)</f>
        <v>#REF!</v>
      </c>
      <c r="V473" t="e">
        <f>IF(R473&lt;&gt;0,Configuración!$G$2,0)</f>
        <v>#REF!</v>
      </c>
      <c r="W473" t="e">
        <f t="shared" si="75"/>
        <v>#REF!</v>
      </c>
      <c r="X473" t="e">
        <f t="shared" si="76"/>
        <v>#REF!</v>
      </c>
      <c r="Z473" t="e">
        <f t="shared" si="77"/>
        <v>#REF!</v>
      </c>
      <c r="AB473" t="e">
        <f t="shared" si="78"/>
        <v>#REF!</v>
      </c>
      <c r="AG473" t="e">
        <f t="shared" si="79"/>
        <v>#REF!</v>
      </c>
      <c r="AH473" s="5" t="e">
        <f t="shared" si="80"/>
        <v>#REF!</v>
      </c>
      <c r="AI473" t="e">
        <f t="shared" si="81"/>
        <v>#REF!</v>
      </c>
    </row>
    <row r="474" spans="4:35" x14ac:dyDescent="0.55000000000000004">
      <c r="D474" t="e">
        <f>IF(COUNTIF(#REF!,"&lt;&gt;NAN")=0, 0, IF(AND(OR(#REF!=#REF!,#REF!="NAN"), OR(#REF!=#REF!,#REF!="NAN"), OR(#REF!=#REF!,#REF!="NAN")),#REF!, 0))</f>
        <v>#REF!</v>
      </c>
      <c r="E474" t="e">
        <f>IF(#REF!="NAN","",IF(
   AND(OR(#REF!=#REF!,#REF!="NAN"),
     OR(#REF!=#REF!,#REF!="NAN"),
     OR(#REF!=#REF!,#REF!="NAN")),
   1,
   0))</f>
        <v>#REF!</v>
      </c>
      <c r="G474" t="e">
        <f>IF(OR(#REF!="UP",#REF!="DOWN"),1,0)</f>
        <v>#REF!</v>
      </c>
      <c r="H474" t="e">
        <f>IF(OR(#REF!="UP",#REF!="DOWN"),1,0)</f>
        <v>#REF!</v>
      </c>
      <c r="I474" t="e">
        <f>IF(OR(#REF!="UP",#REF!="DOWN"),1,0)</f>
        <v>#REF!</v>
      </c>
      <c r="M474" t="e">
        <f>IF(OR(#REF!="UP",#REF!="DOWN"),0,1)</f>
        <v>#REF!</v>
      </c>
      <c r="N474" t="e">
        <f>IF(OR(#REF!="UP",#REF!="DOWN"),VLOOKUP($C474,Configuración!$H$2:$K$11,3),1)</f>
        <v>#REF!</v>
      </c>
      <c r="O474" t="e">
        <f>IF(OR(#REF!="UP",#REF!="DOWN"),VLOOKUP($C474,Configuración!$H$2:$K$11,4),1)</f>
        <v>#REF!</v>
      </c>
      <c r="P474" t="e">
        <f t="shared" si="73"/>
        <v>#REF!</v>
      </c>
      <c r="Q474" t="e">
        <f t="shared" si="74"/>
        <v>#REF!</v>
      </c>
      <c r="R474" t="e">
        <f t="shared" si="72"/>
        <v>#REF!</v>
      </c>
      <c r="T474" t="e">
        <f>IF(R474&lt;&gt;0,Configuración!$E$2,0)</f>
        <v>#REF!</v>
      </c>
      <c r="U474" t="e">
        <f>IF(R474&lt;&gt;0,Configuración!$F$2,0)</f>
        <v>#REF!</v>
      </c>
      <c r="V474" t="e">
        <f>IF(R474&lt;&gt;0,Configuración!$G$2,0)</f>
        <v>#REF!</v>
      </c>
      <c r="W474" t="e">
        <f t="shared" si="75"/>
        <v>#REF!</v>
      </c>
      <c r="X474" t="e">
        <f t="shared" si="76"/>
        <v>#REF!</v>
      </c>
      <c r="Z474" t="e">
        <f t="shared" si="77"/>
        <v>#REF!</v>
      </c>
      <c r="AB474" t="e">
        <f t="shared" si="78"/>
        <v>#REF!</v>
      </c>
      <c r="AG474" t="e">
        <f t="shared" si="79"/>
        <v>#REF!</v>
      </c>
      <c r="AH474" s="5" t="e">
        <f t="shared" si="80"/>
        <v>#REF!</v>
      </c>
      <c r="AI474" t="e">
        <f t="shared" si="81"/>
        <v>#REF!</v>
      </c>
    </row>
    <row r="475" spans="4:35" x14ac:dyDescent="0.55000000000000004">
      <c r="D475" t="e">
        <f>IF(COUNTIF(#REF!,"&lt;&gt;NAN")=0, 0, IF(AND(OR(#REF!=#REF!,#REF!="NAN"), OR(#REF!=#REF!,#REF!="NAN"), OR(#REF!=#REF!,#REF!="NAN")),#REF!, 0))</f>
        <v>#REF!</v>
      </c>
      <c r="E475" t="e">
        <f>IF(#REF!="NAN","",IF(
   AND(OR(#REF!=#REF!,#REF!="NAN"),
     OR(#REF!=#REF!,#REF!="NAN"),
     OR(#REF!=#REF!,#REF!="NAN")),
   1,
   0))</f>
        <v>#REF!</v>
      </c>
      <c r="G475" t="e">
        <f>IF(OR(#REF!="UP",#REF!="DOWN"),1,0)</f>
        <v>#REF!</v>
      </c>
      <c r="H475" t="e">
        <f>IF(OR(#REF!="UP",#REF!="DOWN"),1,0)</f>
        <v>#REF!</v>
      </c>
      <c r="I475" t="e">
        <f>IF(OR(#REF!="UP",#REF!="DOWN"),1,0)</f>
        <v>#REF!</v>
      </c>
      <c r="M475" t="e">
        <f>IF(OR(#REF!="UP",#REF!="DOWN"),0,1)</f>
        <v>#REF!</v>
      </c>
      <c r="N475" t="e">
        <f>IF(OR(#REF!="UP",#REF!="DOWN"),VLOOKUP($C475,Configuración!$H$2:$K$11,3),1)</f>
        <v>#REF!</v>
      </c>
      <c r="O475" t="e">
        <f>IF(OR(#REF!="UP",#REF!="DOWN"),VLOOKUP($C475,Configuración!$H$2:$K$11,4),1)</f>
        <v>#REF!</v>
      </c>
      <c r="P475" t="e">
        <f t="shared" si="73"/>
        <v>#REF!</v>
      </c>
      <c r="Q475" t="e">
        <f t="shared" si="74"/>
        <v>#REF!</v>
      </c>
      <c r="R475" t="e">
        <f t="shared" si="72"/>
        <v>#REF!</v>
      </c>
      <c r="T475" t="e">
        <f>IF(R475&lt;&gt;0,Configuración!$E$2,0)</f>
        <v>#REF!</v>
      </c>
      <c r="U475" t="e">
        <f>IF(R475&lt;&gt;0,Configuración!$F$2,0)</f>
        <v>#REF!</v>
      </c>
      <c r="V475" t="e">
        <f>IF(R475&lt;&gt;0,Configuración!$G$2,0)</f>
        <v>#REF!</v>
      </c>
      <c r="W475" t="e">
        <f t="shared" si="75"/>
        <v>#REF!</v>
      </c>
      <c r="X475" t="e">
        <f t="shared" si="76"/>
        <v>#REF!</v>
      </c>
      <c r="Z475" t="e">
        <f t="shared" si="77"/>
        <v>#REF!</v>
      </c>
      <c r="AB475" t="e">
        <f t="shared" si="78"/>
        <v>#REF!</v>
      </c>
      <c r="AG475" t="e">
        <f t="shared" si="79"/>
        <v>#REF!</v>
      </c>
      <c r="AH475" s="5" t="e">
        <f t="shared" si="80"/>
        <v>#REF!</v>
      </c>
      <c r="AI475" t="e">
        <f t="shared" si="81"/>
        <v>#REF!</v>
      </c>
    </row>
    <row r="476" spans="4:35" x14ac:dyDescent="0.55000000000000004">
      <c r="D476" t="e">
        <f>IF(COUNTIF(#REF!,"&lt;&gt;NAN")=0, 0, IF(AND(OR(#REF!=#REF!,#REF!="NAN"), OR(#REF!=#REF!,#REF!="NAN"), OR(#REF!=#REF!,#REF!="NAN")),#REF!, 0))</f>
        <v>#REF!</v>
      </c>
      <c r="E476" t="e">
        <f>IF(#REF!="NAN","",IF(
   AND(OR(#REF!=#REF!,#REF!="NAN"),
     OR(#REF!=#REF!,#REF!="NAN"),
     OR(#REF!=#REF!,#REF!="NAN")),
   1,
   0))</f>
        <v>#REF!</v>
      </c>
      <c r="G476" t="e">
        <f>IF(OR(#REF!="UP",#REF!="DOWN"),1,0)</f>
        <v>#REF!</v>
      </c>
      <c r="H476" t="e">
        <f>IF(OR(#REF!="UP",#REF!="DOWN"),1,0)</f>
        <v>#REF!</v>
      </c>
      <c r="I476" t="e">
        <f>IF(OR(#REF!="UP",#REF!="DOWN"),1,0)</f>
        <v>#REF!</v>
      </c>
      <c r="M476" t="e">
        <f>IF(OR(#REF!="UP",#REF!="DOWN"),0,1)</f>
        <v>#REF!</v>
      </c>
      <c r="N476" t="e">
        <f>IF(OR(#REF!="UP",#REF!="DOWN"),VLOOKUP($C476,Configuración!$H$2:$K$11,3),1)</f>
        <v>#REF!</v>
      </c>
      <c r="O476" t="e">
        <f>IF(OR(#REF!="UP",#REF!="DOWN"),VLOOKUP($C476,Configuración!$H$2:$K$11,4),1)</f>
        <v>#REF!</v>
      </c>
      <c r="P476" t="e">
        <f t="shared" si="73"/>
        <v>#REF!</v>
      </c>
      <c r="Q476" t="e">
        <f t="shared" si="74"/>
        <v>#REF!</v>
      </c>
      <c r="R476" t="e">
        <f t="shared" si="72"/>
        <v>#REF!</v>
      </c>
      <c r="T476" t="e">
        <f>IF(R476&lt;&gt;0,Configuración!$E$2,0)</f>
        <v>#REF!</v>
      </c>
      <c r="U476" t="e">
        <f>IF(R476&lt;&gt;0,Configuración!$F$2,0)</f>
        <v>#REF!</v>
      </c>
      <c r="V476" t="e">
        <f>IF(R476&lt;&gt;0,Configuración!$G$2,0)</f>
        <v>#REF!</v>
      </c>
      <c r="W476" t="e">
        <f t="shared" si="75"/>
        <v>#REF!</v>
      </c>
      <c r="X476" t="e">
        <f t="shared" si="76"/>
        <v>#REF!</v>
      </c>
      <c r="Z476" t="e">
        <f t="shared" si="77"/>
        <v>#REF!</v>
      </c>
      <c r="AB476" t="e">
        <f t="shared" si="78"/>
        <v>#REF!</v>
      </c>
      <c r="AG476" t="e">
        <f t="shared" si="79"/>
        <v>#REF!</v>
      </c>
      <c r="AH476" s="5" t="e">
        <f t="shared" si="80"/>
        <v>#REF!</v>
      </c>
      <c r="AI476" t="e">
        <f t="shared" si="81"/>
        <v>#REF!</v>
      </c>
    </row>
    <row r="477" spans="4:35" x14ac:dyDescent="0.55000000000000004">
      <c r="D477" t="e">
        <f>IF(COUNTIF(#REF!,"&lt;&gt;NAN")=0, 0, IF(AND(OR(#REF!=#REF!,#REF!="NAN"), OR(#REF!=#REF!,#REF!="NAN"), OR(#REF!=#REF!,#REF!="NAN")),#REF!, 0))</f>
        <v>#REF!</v>
      </c>
      <c r="E477" t="e">
        <f>IF(#REF!="NAN","",IF(
   AND(OR(#REF!=#REF!,#REF!="NAN"),
     OR(#REF!=#REF!,#REF!="NAN"),
     OR(#REF!=#REF!,#REF!="NAN")),
   1,
   0))</f>
        <v>#REF!</v>
      </c>
      <c r="G477" t="e">
        <f>IF(OR(#REF!="UP",#REF!="DOWN"),1,0)</f>
        <v>#REF!</v>
      </c>
      <c r="H477" t="e">
        <f>IF(OR(#REF!="UP",#REF!="DOWN"),1,0)</f>
        <v>#REF!</v>
      </c>
      <c r="I477" t="e">
        <f>IF(OR(#REF!="UP",#REF!="DOWN"),1,0)</f>
        <v>#REF!</v>
      </c>
      <c r="M477" t="e">
        <f>IF(OR(#REF!="UP",#REF!="DOWN"),0,1)</f>
        <v>#REF!</v>
      </c>
      <c r="N477" t="e">
        <f>IF(OR(#REF!="UP",#REF!="DOWN"),VLOOKUP($C477,Configuración!$H$2:$K$11,3),1)</f>
        <v>#REF!</v>
      </c>
      <c r="O477" t="e">
        <f>IF(OR(#REF!="UP",#REF!="DOWN"),VLOOKUP($C477,Configuración!$H$2:$K$11,4),1)</f>
        <v>#REF!</v>
      </c>
      <c r="P477" t="e">
        <f t="shared" si="73"/>
        <v>#REF!</v>
      </c>
      <c r="Q477" t="e">
        <f t="shared" si="74"/>
        <v>#REF!</v>
      </c>
      <c r="R477" t="e">
        <f t="shared" si="72"/>
        <v>#REF!</v>
      </c>
      <c r="T477" t="e">
        <f>IF(R477&lt;&gt;0,Configuración!$E$2,0)</f>
        <v>#REF!</v>
      </c>
      <c r="U477" t="e">
        <f>IF(R477&lt;&gt;0,Configuración!$F$2,0)</f>
        <v>#REF!</v>
      </c>
      <c r="V477" t="e">
        <f>IF(R477&lt;&gt;0,Configuración!$G$2,0)</f>
        <v>#REF!</v>
      </c>
      <c r="W477" t="e">
        <f t="shared" si="75"/>
        <v>#REF!</v>
      </c>
      <c r="X477" t="e">
        <f t="shared" si="76"/>
        <v>#REF!</v>
      </c>
      <c r="Z477" t="e">
        <f t="shared" si="77"/>
        <v>#REF!</v>
      </c>
      <c r="AB477" t="e">
        <f t="shared" si="78"/>
        <v>#REF!</v>
      </c>
      <c r="AG477" t="e">
        <f t="shared" si="79"/>
        <v>#REF!</v>
      </c>
      <c r="AH477" s="5" t="e">
        <f t="shared" si="80"/>
        <v>#REF!</v>
      </c>
      <c r="AI477" t="e">
        <f t="shared" si="81"/>
        <v>#REF!</v>
      </c>
    </row>
    <row r="478" spans="4:35" x14ac:dyDescent="0.55000000000000004">
      <c r="D478" t="e">
        <f>IF(COUNTIF(#REF!,"&lt;&gt;NAN")=0, 0, IF(AND(OR(#REF!=#REF!,#REF!="NAN"), OR(#REF!=#REF!,#REF!="NAN"), OR(#REF!=#REF!,#REF!="NAN")),#REF!, 0))</f>
        <v>#REF!</v>
      </c>
      <c r="E478" t="e">
        <f>IF(#REF!="NAN","",IF(
   AND(OR(#REF!=#REF!,#REF!="NAN"),
     OR(#REF!=#REF!,#REF!="NAN"),
     OR(#REF!=#REF!,#REF!="NAN")),
   1,
   0))</f>
        <v>#REF!</v>
      </c>
      <c r="G478" t="e">
        <f>IF(OR(#REF!="UP",#REF!="DOWN"),1,0)</f>
        <v>#REF!</v>
      </c>
      <c r="H478" t="e">
        <f>IF(OR(#REF!="UP",#REF!="DOWN"),1,0)</f>
        <v>#REF!</v>
      </c>
      <c r="I478" t="e">
        <f>IF(OR(#REF!="UP",#REF!="DOWN"),1,0)</f>
        <v>#REF!</v>
      </c>
      <c r="M478" t="e">
        <f>IF(OR(#REF!="UP",#REF!="DOWN"),0,1)</f>
        <v>#REF!</v>
      </c>
      <c r="N478" t="e">
        <f>IF(OR(#REF!="UP",#REF!="DOWN"),VLOOKUP($C478,Configuración!$H$2:$K$11,3),1)</f>
        <v>#REF!</v>
      </c>
      <c r="O478" t="e">
        <f>IF(OR(#REF!="UP",#REF!="DOWN"),VLOOKUP($C478,Configuración!$H$2:$K$11,4),1)</f>
        <v>#REF!</v>
      </c>
      <c r="P478" t="e">
        <f t="shared" si="73"/>
        <v>#REF!</v>
      </c>
      <c r="Q478" t="e">
        <f t="shared" si="74"/>
        <v>#REF!</v>
      </c>
      <c r="R478" t="e">
        <f t="shared" si="72"/>
        <v>#REF!</v>
      </c>
      <c r="T478" t="e">
        <f>IF(R478&lt;&gt;0,Configuración!$E$2,0)</f>
        <v>#REF!</v>
      </c>
      <c r="U478" t="e">
        <f>IF(R478&lt;&gt;0,Configuración!$F$2,0)</f>
        <v>#REF!</v>
      </c>
      <c r="V478" t="e">
        <f>IF(R478&lt;&gt;0,Configuración!$G$2,0)</f>
        <v>#REF!</v>
      </c>
      <c r="W478" t="e">
        <f t="shared" si="75"/>
        <v>#REF!</v>
      </c>
      <c r="X478" t="e">
        <f t="shared" si="76"/>
        <v>#REF!</v>
      </c>
      <c r="Z478" t="e">
        <f t="shared" si="77"/>
        <v>#REF!</v>
      </c>
      <c r="AB478" t="e">
        <f t="shared" si="78"/>
        <v>#REF!</v>
      </c>
      <c r="AG478" t="e">
        <f t="shared" si="79"/>
        <v>#REF!</v>
      </c>
      <c r="AH478" s="5" t="e">
        <f t="shared" si="80"/>
        <v>#REF!</v>
      </c>
      <c r="AI478" t="e">
        <f t="shared" si="81"/>
        <v>#REF!</v>
      </c>
    </row>
    <row r="479" spans="4:35" x14ac:dyDescent="0.55000000000000004">
      <c r="D479" t="e">
        <f>IF(COUNTIF(#REF!,"&lt;&gt;NAN")=0, 0, IF(AND(OR(#REF!=#REF!,#REF!="NAN"), OR(#REF!=#REF!,#REF!="NAN"), OR(#REF!=#REF!,#REF!="NAN")),#REF!, 0))</f>
        <v>#REF!</v>
      </c>
      <c r="E479" t="e">
        <f>IF(#REF!="NAN","",IF(
   AND(OR(#REF!=#REF!,#REF!="NAN"),
     OR(#REF!=#REF!,#REF!="NAN"),
     OR(#REF!=#REF!,#REF!="NAN")),
   1,
   0))</f>
        <v>#REF!</v>
      </c>
      <c r="G479" t="e">
        <f>IF(OR(#REF!="UP",#REF!="DOWN"),1,0)</f>
        <v>#REF!</v>
      </c>
      <c r="H479" t="e">
        <f>IF(OR(#REF!="UP",#REF!="DOWN"),1,0)</f>
        <v>#REF!</v>
      </c>
      <c r="I479" t="e">
        <f>IF(OR(#REF!="UP",#REF!="DOWN"),1,0)</f>
        <v>#REF!</v>
      </c>
      <c r="M479" t="e">
        <f>IF(OR(#REF!="UP",#REF!="DOWN"),0,1)</f>
        <v>#REF!</v>
      </c>
      <c r="N479" t="e">
        <f>IF(OR(#REF!="UP",#REF!="DOWN"),VLOOKUP($C479,Configuración!$H$2:$K$11,3),1)</f>
        <v>#REF!</v>
      </c>
      <c r="O479" t="e">
        <f>IF(OR(#REF!="UP",#REF!="DOWN"),VLOOKUP($C479,Configuración!$H$2:$K$11,4),1)</f>
        <v>#REF!</v>
      </c>
      <c r="P479" t="e">
        <f t="shared" si="73"/>
        <v>#REF!</v>
      </c>
      <c r="Q479" t="e">
        <f t="shared" si="74"/>
        <v>#REF!</v>
      </c>
      <c r="R479" t="e">
        <f t="shared" si="72"/>
        <v>#REF!</v>
      </c>
      <c r="T479" t="e">
        <f>IF(R479&lt;&gt;0,Configuración!$E$2,0)</f>
        <v>#REF!</v>
      </c>
      <c r="U479" t="e">
        <f>IF(R479&lt;&gt;0,Configuración!$F$2,0)</f>
        <v>#REF!</v>
      </c>
      <c r="V479" t="e">
        <f>IF(R479&lt;&gt;0,Configuración!$G$2,0)</f>
        <v>#REF!</v>
      </c>
      <c r="W479" t="e">
        <f t="shared" si="75"/>
        <v>#REF!</v>
      </c>
      <c r="X479" t="e">
        <f t="shared" si="76"/>
        <v>#REF!</v>
      </c>
      <c r="Z479" t="e">
        <f t="shared" si="77"/>
        <v>#REF!</v>
      </c>
      <c r="AB479" t="e">
        <f t="shared" si="78"/>
        <v>#REF!</v>
      </c>
      <c r="AG479" t="e">
        <f t="shared" si="79"/>
        <v>#REF!</v>
      </c>
      <c r="AH479" s="5" t="e">
        <f t="shared" si="80"/>
        <v>#REF!</v>
      </c>
      <c r="AI479" t="e">
        <f t="shared" si="81"/>
        <v>#REF!</v>
      </c>
    </row>
    <row r="480" spans="4:35" x14ac:dyDescent="0.55000000000000004">
      <c r="D480" t="e">
        <f>IF(COUNTIF(#REF!,"&lt;&gt;NAN")=0, 0, IF(AND(OR(#REF!=#REF!,#REF!="NAN"), OR(#REF!=#REF!,#REF!="NAN"), OR(#REF!=#REF!,#REF!="NAN")),#REF!, 0))</f>
        <v>#REF!</v>
      </c>
      <c r="E480" t="e">
        <f>IF(#REF!="NAN","",IF(
   AND(OR(#REF!=#REF!,#REF!="NAN"),
     OR(#REF!=#REF!,#REF!="NAN"),
     OR(#REF!=#REF!,#REF!="NAN")),
   1,
   0))</f>
        <v>#REF!</v>
      </c>
      <c r="G480" t="e">
        <f>IF(OR(#REF!="UP",#REF!="DOWN"),1,0)</f>
        <v>#REF!</v>
      </c>
      <c r="H480" t="e">
        <f>IF(OR(#REF!="UP",#REF!="DOWN"),1,0)</f>
        <v>#REF!</v>
      </c>
      <c r="I480" t="e">
        <f>IF(OR(#REF!="UP",#REF!="DOWN"),1,0)</f>
        <v>#REF!</v>
      </c>
      <c r="M480" t="e">
        <f>IF(OR(#REF!="UP",#REF!="DOWN"),0,1)</f>
        <v>#REF!</v>
      </c>
      <c r="N480" t="e">
        <f>IF(OR(#REF!="UP",#REF!="DOWN"),VLOOKUP($C480,Configuración!$H$2:$K$11,3),1)</f>
        <v>#REF!</v>
      </c>
      <c r="O480" t="e">
        <f>IF(OR(#REF!="UP",#REF!="DOWN"),VLOOKUP($C480,Configuración!$H$2:$K$11,4),1)</f>
        <v>#REF!</v>
      </c>
      <c r="P480" t="e">
        <f t="shared" si="73"/>
        <v>#REF!</v>
      </c>
      <c r="Q480" t="e">
        <f t="shared" si="74"/>
        <v>#REF!</v>
      </c>
      <c r="R480" t="e">
        <f t="shared" si="72"/>
        <v>#REF!</v>
      </c>
      <c r="T480" t="e">
        <f>IF(R480&lt;&gt;0,Configuración!$E$2,0)</f>
        <v>#REF!</v>
      </c>
      <c r="U480" t="e">
        <f>IF(R480&lt;&gt;0,Configuración!$F$2,0)</f>
        <v>#REF!</v>
      </c>
      <c r="V480" t="e">
        <f>IF(R480&lt;&gt;0,Configuración!$G$2,0)</f>
        <v>#REF!</v>
      </c>
      <c r="W480" t="e">
        <f t="shared" si="75"/>
        <v>#REF!</v>
      </c>
      <c r="X480" t="e">
        <f t="shared" si="76"/>
        <v>#REF!</v>
      </c>
      <c r="Z480" t="e">
        <f t="shared" si="77"/>
        <v>#REF!</v>
      </c>
      <c r="AB480" t="e">
        <f t="shared" si="78"/>
        <v>#REF!</v>
      </c>
      <c r="AG480" t="e">
        <f t="shared" si="79"/>
        <v>#REF!</v>
      </c>
      <c r="AH480" s="5" t="e">
        <f t="shared" si="80"/>
        <v>#REF!</v>
      </c>
      <c r="AI480" t="e">
        <f t="shared" si="81"/>
        <v>#REF!</v>
      </c>
    </row>
    <row r="481" spans="4:35" x14ac:dyDescent="0.55000000000000004">
      <c r="D481" t="e">
        <f>IF(COUNTIF(#REF!,"&lt;&gt;NAN")=0, 0, IF(AND(OR(#REF!=#REF!,#REF!="NAN"), OR(#REF!=#REF!,#REF!="NAN"), OR(#REF!=#REF!,#REF!="NAN")),#REF!, 0))</f>
        <v>#REF!</v>
      </c>
      <c r="E481" t="e">
        <f>IF(#REF!="NAN","",IF(
   AND(OR(#REF!=#REF!,#REF!="NAN"),
     OR(#REF!=#REF!,#REF!="NAN"),
     OR(#REF!=#REF!,#REF!="NAN")),
   1,
   0))</f>
        <v>#REF!</v>
      </c>
      <c r="G481" t="e">
        <f>IF(OR(#REF!="UP",#REF!="DOWN"),1,0)</f>
        <v>#REF!</v>
      </c>
      <c r="H481" t="e">
        <f>IF(OR(#REF!="UP",#REF!="DOWN"),1,0)</f>
        <v>#REF!</v>
      </c>
      <c r="I481" t="e">
        <f>IF(OR(#REF!="UP",#REF!="DOWN"),1,0)</f>
        <v>#REF!</v>
      </c>
      <c r="M481" t="e">
        <f>IF(OR(#REF!="UP",#REF!="DOWN"),0,1)</f>
        <v>#REF!</v>
      </c>
      <c r="N481" t="e">
        <f>IF(OR(#REF!="UP",#REF!="DOWN"),VLOOKUP($C481,Configuración!$H$2:$K$11,3),1)</f>
        <v>#REF!</v>
      </c>
      <c r="O481" t="e">
        <f>IF(OR(#REF!="UP",#REF!="DOWN"),VLOOKUP($C481,Configuración!$H$2:$K$11,4),1)</f>
        <v>#REF!</v>
      </c>
      <c r="P481" t="e">
        <f t="shared" si="73"/>
        <v>#REF!</v>
      </c>
      <c r="Q481" t="e">
        <f t="shared" si="74"/>
        <v>#REF!</v>
      </c>
      <c r="R481" t="e">
        <f t="shared" si="72"/>
        <v>#REF!</v>
      </c>
      <c r="T481" t="e">
        <f>IF(R481&lt;&gt;0,Configuración!$E$2,0)</f>
        <v>#REF!</v>
      </c>
      <c r="U481" t="e">
        <f>IF(R481&lt;&gt;0,Configuración!$F$2,0)</f>
        <v>#REF!</v>
      </c>
      <c r="V481" t="e">
        <f>IF(R481&lt;&gt;0,Configuración!$G$2,0)</f>
        <v>#REF!</v>
      </c>
      <c r="W481" t="e">
        <f t="shared" si="75"/>
        <v>#REF!</v>
      </c>
      <c r="X481" t="e">
        <f t="shared" si="76"/>
        <v>#REF!</v>
      </c>
      <c r="Z481" t="e">
        <f t="shared" si="77"/>
        <v>#REF!</v>
      </c>
      <c r="AB481" t="e">
        <f t="shared" si="78"/>
        <v>#REF!</v>
      </c>
      <c r="AG481" t="e">
        <f t="shared" si="79"/>
        <v>#REF!</v>
      </c>
      <c r="AH481" s="5" t="e">
        <f t="shared" si="80"/>
        <v>#REF!</v>
      </c>
      <c r="AI481" t="e">
        <f t="shared" si="81"/>
        <v>#REF!</v>
      </c>
    </row>
    <row r="482" spans="4:35" x14ac:dyDescent="0.55000000000000004">
      <c r="D482" t="e">
        <f>IF(COUNTIF(#REF!,"&lt;&gt;NAN")=0, 0, IF(AND(OR(#REF!=#REF!,#REF!="NAN"), OR(#REF!=#REF!,#REF!="NAN"), OR(#REF!=#REF!,#REF!="NAN")),#REF!, 0))</f>
        <v>#REF!</v>
      </c>
      <c r="E482" t="e">
        <f>IF(#REF!="NAN","",IF(
   AND(OR(#REF!=#REF!,#REF!="NAN"),
     OR(#REF!=#REF!,#REF!="NAN"),
     OR(#REF!=#REF!,#REF!="NAN")),
   1,
   0))</f>
        <v>#REF!</v>
      </c>
      <c r="G482" t="e">
        <f>IF(OR(#REF!="UP",#REF!="DOWN"),1,0)</f>
        <v>#REF!</v>
      </c>
      <c r="H482" t="e">
        <f>IF(OR(#REF!="UP",#REF!="DOWN"),1,0)</f>
        <v>#REF!</v>
      </c>
      <c r="I482" t="e">
        <f>IF(OR(#REF!="UP",#REF!="DOWN"),1,0)</f>
        <v>#REF!</v>
      </c>
      <c r="M482" t="e">
        <f>IF(OR(#REF!="UP",#REF!="DOWN"),0,1)</f>
        <v>#REF!</v>
      </c>
      <c r="N482" t="e">
        <f>IF(OR(#REF!="UP",#REF!="DOWN"),VLOOKUP($C482,Configuración!$H$2:$K$11,3),1)</f>
        <v>#REF!</v>
      </c>
      <c r="O482" t="e">
        <f>IF(OR(#REF!="UP",#REF!="DOWN"),VLOOKUP($C482,Configuración!$H$2:$K$11,4),1)</f>
        <v>#REF!</v>
      </c>
      <c r="P482" t="e">
        <f t="shared" si="73"/>
        <v>#REF!</v>
      </c>
      <c r="Q482" t="e">
        <f t="shared" si="74"/>
        <v>#REF!</v>
      </c>
      <c r="R482" t="e">
        <f t="shared" si="72"/>
        <v>#REF!</v>
      </c>
      <c r="T482" t="e">
        <f>IF(R482&lt;&gt;0,Configuración!$E$2,0)</f>
        <v>#REF!</v>
      </c>
      <c r="U482" t="e">
        <f>IF(R482&lt;&gt;0,Configuración!$F$2,0)</f>
        <v>#REF!</v>
      </c>
      <c r="V482" t="e">
        <f>IF(R482&lt;&gt;0,Configuración!$G$2,0)</f>
        <v>#REF!</v>
      </c>
      <c r="W482" t="e">
        <f t="shared" si="75"/>
        <v>#REF!</v>
      </c>
      <c r="X482" t="e">
        <f t="shared" si="76"/>
        <v>#REF!</v>
      </c>
      <c r="Z482" t="e">
        <f t="shared" si="77"/>
        <v>#REF!</v>
      </c>
      <c r="AB482" t="e">
        <f t="shared" si="78"/>
        <v>#REF!</v>
      </c>
      <c r="AG482" t="e">
        <f t="shared" si="79"/>
        <v>#REF!</v>
      </c>
      <c r="AH482" s="5" t="e">
        <f t="shared" si="80"/>
        <v>#REF!</v>
      </c>
      <c r="AI482" t="e">
        <f t="shared" si="81"/>
        <v>#REF!</v>
      </c>
    </row>
  </sheetData>
  <conditionalFormatting sqref="C1:C1048576">
    <cfRule type="expression" dxfId="9" priority="1">
      <formula>$R1="DOWN"</formula>
    </cfRule>
    <cfRule type="expression" dxfId="8" priority="2">
      <formula>$R1="UP"</formula>
    </cfRule>
  </conditionalFormatting>
  <conditionalFormatting sqref="R1:R1048576">
    <cfRule type="containsText" dxfId="7" priority="6" operator="containsText" text="DOWN">
      <formula>NOT(ISERROR(SEARCH("DOWN",R1)))</formula>
    </cfRule>
    <cfRule type="containsText" dxfId="6" priority="7" operator="containsText" text="UP">
      <formula>NOT(ISERROR(SEARCH("UP",R1)))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4F53299-8929-4840-8615-A88A86EE19A4}">
          <x14:formula1>
            <xm:f>Configuración!$H$2:$H$11</xm:f>
          </x14:formula1>
          <xm:sqref>C3:C492</xm:sqref>
        </x14:dataValidation>
        <x14:dataValidation type="list" allowBlank="1" showInputMessage="1" showErrorMessage="1" xr:uid="{C10186CB-61B9-433A-BB37-4455B00B4970}">
          <x14:formula1>
            <xm:f>Configuración!$E$5:$E$8</xm:f>
          </x14:formula1>
          <xm:sqref>AF3</xm:sqref>
        </x14:dataValidation>
        <x14:dataValidation type="list" allowBlank="1" showInputMessage="1" showErrorMessage="1" xr:uid="{A206943A-B89B-4425-ABA0-AEC2C028CB64}">
          <x14:formula1>
            <xm:f>Configuración!$D$5:$D$7</xm:f>
          </x14:formula1>
          <xm:sqref>F3:F482 J169:J482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7A6D6-9323-42E5-AABF-10E4C289D1FD}">
  <dimension ref="A1:B11"/>
  <sheetViews>
    <sheetView workbookViewId="0">
      <selection activeCell="O11" sqref="O11"/>
    </sheetView>
  </sheetViews>
  <sheetFormatPr baseColWidth="10" defaultRowHeight="14.4" x14ac:dyDescent="0.55000000000000004"/>
  <cols>
    <col min="1" max="1" width="15.9453125" bestFit="1" customWidth="1"/>
    <col min="2" max="2" width="14.47265625" bestFit="1" customWidth="1"/>
  </cols>
  <sheetData>
    <row r="1" spans="1:2" x14ac:dyDescent="0.55000000000000004">
      <c r="A1" s="12" t="s">
        <v>87</v>
      </c>
      <c r="B1" t="s">
        <v>89</v>
      </c>
    </row>
    <row r="2" spans="1:2" x14ac:dyDescent="0.55000000000000004">
      <c r="A2" s="13" t="s">
        <v>29</v>
      </c>
      <c r="B2">
        <v>5</v>
      </c>
    </row>
    <row r="3" spans="1:2" x14ac:dyDescent="0.55000000000000004">
      <c r="A3" s="13" t="s">
        <v>26</v>
      </c>
      <c r="B3">
        <v>4</v>
      </c>
    </row>
    <row r="4" spans="1:2" x14ac:dyDescent="0.55000000000000004">
      <c r="A4" s="13" t="s">
        <v>35</v>
      </c>
      <c r="B4">
        <v>4</v>
      </c>
    </row>
    <row r="5" spans="1:2" x14ac:dyDescent="0.55000000000000004">
      <c r="A5" s="13" t="s">
        <v>32</v>
      </c>
      <c r="B5">
        <v>3</v>
      </c>
    </row>
    <row r="6" spans="1:2" x14ac:dyDescent="0.55000000000000004">
      <c r="A6" s="13" t="s">
        <v>31</v>
      </c>
      <c r="B6">
        <v>3</v>
      </c>
    </row>
    <row r="7" spans="1:2" x14ac:dyDescent="0.55000000000000004">
      <c r="A7" s="13" t="s">
        <v>28</v>
      </c>
      <c r="B7">
        <v>3</v>
      </c>
    </row>
    <row r="8" spans="1:2" x14ac:dyDescent="0.55000000000000004">
      <c r="A8" s="13" t="s">
        <v>34</v>
      </c>
      <c r="B8">
        <v>3</v>
      </c>
    </row>
    <row r="9" spans="1:2" x14ac:dyDescent="0.55000000000000004">
      <c r="A9" s="13" t="s">
        <v>33</v>
      </c>
      <c r="B9">
        <v>2</v>
      </c>
    </row>
    <row r="10" spans="1:2" x14ac:dyDescent="0.55000000000000004">
      <c r="A10" s="13" t="s">
        <v>27</v>
      </c>
      <c r="B10">
        <v>1</v>
      </c>
    </row>
    <row r="11" spans="1:2" x14ac:dyDescent="0.55000000000000004">
      <c r="A11" s="13" t="s">
        <v>88</v>
      </c>
      <c r="B11">
        <v>28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A6B15-74F2-4A4C-8FCF-C6E228ACFA65}">
  <dimension ref="A1:E12"/>
  <sheetViews>
    <sheetView workbookViewId="0">
      <selection activeCell="I20" sqref="I20"/>
    </sheetView>
  </sheetViews>
  <sheetFormatPr baseColWidth="10" defaultRowHeight="14.4" x14ac:dyDescent="0.55000000000000004"/>
  <cols>
    <col min="1" max="1" width="15.9453125" bestFit="1" customWidth="1"/>
    <col min="2" max="2" width="20.41796875" bestFit="1" customWidth="1"/>
    <col min="3" max="3" width="4.68359375" bestFit="1" customWidth="1"/>
    <col min="4" max="4" width="4.26171875" bestFit="1" customWidth="1"/>
    <col min="5" max="5" width="11.3125" bestFit="1" customWidth="1"/>
    <col min="6" max="6" width="4.68359375" bestFit="1" customWidth="1"/>
    <col min="7" max="7" width="4.26171875" bestFit="1" customWidth="1"/>
    <col min="8" max="8" width="22.578125" bestFit="1" customWidth="1"/>
    <col min="9" max="9" width="19.05078125" bestFit="1" customWidth="1"/>
  </cols>
  <sheetData>
    <row r="1" spans="1:5" x14ac:dyDescent="0.55000000000000004">
      <c r="A1" s="12" t="s">
        <v>89</v>
      </c>
      <c r="B1" s="12" t="s">
        <v>93</v>
      </c>
    </row>
    <row r="2" spans="1:5" x14ac:dyDescent="0.55000000000000004">
      <c r="A2" s="12" t="s">
        <v>87</v>
      </c>
      <c r="B2" t="s">
        <v>90</v>
      </c>
      <c r="C2" t="s">
        <v>91</v>
      </c>
      <c r="D2" t="s">
        <v>92</v>
      </c>
      <c r="E2" t="s">
        <v>88</v>
      </c>
    </row>
    <row r="3" spans="1:5" x14ac:dyDescent="0.55000000000000004">
      <c r="A3" s="13" t="s">
        <v>32</v>
      </c>
      <c r="B3" s="16">
        <v>2</v>
      </c>
      <c r="C3" s="16">
        <v>1</v>
      </c>
      <c r="D3" s="16"/>
      <c r="E3" s="16">
        <v>3</v>
      </c>
    </row>
    <row r="4" spans="1:5" x14ac:dyDescent="0.55000000000000004">
      <c r="A4" s="13" t="s">
        <v>26</v>
      </c>
      <c r="B4" s="16">
        <v>2</v>
      </c>
      <c r="C4" s="16">
        <v>1</v>
      </c>
      <c r="D4" s="16">
        <v>1</v>
      </c>
      <c r="E4" s="16">
        <v>4</v>
      </c>
    </row>
    <row r="5" spans="1:5" x14ac:dyDescent="0.55000000000000004">
      <c r="A5" s="13" t="s">
        <v>33</v>
      </c>
      <c r="B5" s="16"/>
      <c r="C5" s="16">
        <v>1</v>
      </c>
      <c r="D5" s="16">
        <v>1</v>
      </c>
      <c r="E5" s="16">
        <v>2</v>
      </c>
    </row>
    <row r="6" spans="1:5" x14ac:dyDescent="0.55000000000000004">
      <c r="A6" s="13" t="s">
        <v>35</v>
      </c>
      <c r="B6" s="16"/>
      <c r="C6" s="16"/>
      <c r="D6" s="16">
        <v>4</v>
      </c>
      <c r="E6" s="16">
        <v>4</v>
      </c>
    </row>
    <row r="7" spans="1:5" x14ac:dyDescent="0.55000000000000004">
      <c r="A7" s="13" t="s">
        <v>34</v>
      </c>
      <c r="B7" s="16">
        <v>1</v>
      </c>
      <c r="C7" s="16"/>
      <c r="D7" s="16">
        <v>2</v>
      </c>
      <c r="E7" s="16">
        <v>3</v>
      </c>
    </row>
    <row r="8" spans="1:5" x14ac:dyDescent="0.55000000000000004">
      <c r="A8" s="13" t="s">
        <v>27</v>
      </c>
      <c r="B8" s="16"/>
      <c r="C8" s="16"/>
      <c r="D8" s="16">
        <v>1</v>
      </c>
      <c r="E8" s="16">
        <v>1</v>
      </c>
    </row>
    <row r="9" spans="1:5" x14ac:dyDescent="0.55000000000000004">
      <c r="A9" s="13" t="s">
        <v>28</v>
      </c>
      <c r="B9" s="16">
        <v>1</v>
      </c>
      <c r="C9" s="16">
        <v>1</v>
      </c>
      <c r="D9" s="16">
        <v>1</v>
      </c>
      <c r="E9" s="16">
        <v>3</v>
      </c>
    </row>
    <row r="10" spans="1:5" x14ac:dyDescent="0.55000000000000004">
      <c r="A10" s="13" t="s">
        <v>29</v>
      </c>
      <c r="B10" s="16">
        <v>1</v>
      </c>
      <c r="C10" s="16">
        <v>2</v>
      </c>
      <c r="D10" s="16">
        <v>2</v>
      </c>
      <c r="E10" s="16">
        <v>5</v>
      </c>
    </row>
    <row r="11" spans="1:5" x14ac:dyDescent="0.55000000000000004">
      <c r="A11" s="13" t="s">
        <v>31</v>
      </c>
      <c r="B11" s="16"/>
      <c r="C11" s="16">
        <v>1</v>
      </c>
      <c r="D11" s="16">
        <v>2</v>
      </c>
      <c r="E11" s="16">
        <v>3</v>
      </c>
    </row>
    <row r="12" spans="1:5" x14ac:dyDescent="0.55000000000000004">
      <c r="A12" s="13" t="s">
        <v>88</v>
      </c>
      <c r="B12" s="16">
        <v>7</v>
      </c>
      <c r="C12" s="16">
        <v>7</v>
      </c>
      <c r="D12" s="16">
        <v>14</v>
      </c>
      <c r="E12" s="16">
        <v>28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E105C-1C93-40EA-8D33-8922A82ACE78}">
  <dimension ref="A1:B7"/>
  <sheetViews>
    <sheetView workbookViewId="0">
      <selection activeCell="G21" sqref="G21"/>
    </sheetView>
  </sheetViews>
  <sheetFormatPr baseColWidth="10" defaultRowHeight="14.4" x14ac:dyDescent="0.55000000000000004"/>
  <cols>
    <col min="1" max="1" width="15.9453125" bestFit="1" customWidth="1"/>
    <col min="2" max="2" width="13.15625" bestFit="1" customWidth="1"/>
  </cols>
  <sheetData>
    <row r="1" spans="1:2" x14ac:dyDescent="0.55000000000000004">
      <c r="A1" s="12" t="s">
        <v>87</v>
      </c>
      <c r="B1" t="s">
        <v>94</v>
      </c>
    </row>
    <row r="2" spans="1:2" x14ac:dyDescent="0.55000000000000004">
      <c r="A2" s="13">
        <v>0</v>
      </c>
      <c r="B2">
        <v>13</v>
      </c>
    </row>
    <row r="3" spans="1:2" x14ac:dyDescent="0.55000000000000004">
      <c r="A3" s="13">
        <v>1</v>
      </c>
      <c r="B3">
        <v>9</v>
      </c>
    </row>
    <row r="4" spans="1:2" x14ac:dyDescent="0.55000000000000004">
      <c r="A4" s="13">
        <v>2</v>
      </c>
      <c r="B4">
        <v>2</v>
      </c>
    </row>
    <row r="5" spans="1:2" x14ac:dyDescent="0.55000000000000004">
      <c r="A5" s="13">
        <v>3</v>
      </c>
      <c r="B5">
        <v>3</v>
      </c>
    </row>
    <row r="6" spans="1:2" x14ac:dyDescent="0.55000000000000004">
      <c r="A6" s="13" t="s">
        <v>95</v>
      </c>
    </row>
    <row r="7" spans="1:2" x14ac:dyDescent="0.55000000000000004">
      <c r="A7" s="13" t="s">
        <v>88</v>
      </c>
      <c r="B7">
        <v>27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CB0D0-8BB3-4DD6-A78A-05DF38B68180}">
  <dimension ref="A1:B32"/>
  <sheetViews>
    <sheetView topLeftCell="A4" workbookViewId="0">
      <selection activeCell="F22" sqref="F22"/>
    </sheetView>
  </sheetViews>
  <sheetFormatPr baseColWidth="10" defaultRowHeight="14.4" x14ac:dyDescent="0.55000000000000004"/>
  <cols>
    <col min="1" max="1" width="15.9453125" bestFit="1" customWidth="1"/>
    <col min="2" max="2" width="16.15625" bestFit="1" customWidth="1"/>
    <col min="3" max="3" width="16.578125" bestFit="1" customWidth="1"/>
    <col min="4" max="7" width="12.26171875" bestFit="1" customWidth="1"/>
    <col min="8" max="8" width="1.68359375" bestFit="1" customWidth="1"/>
    <col min="9" max="22" width="11.68359375" bestFit="1" customWidth="1"/>
    <col min="23" max="23" width="16.578125" bestFit="1" customWidth="1"/>
    <col min="24" max="28" width="12.26171875" bestFit="1" customWidth="1"/>
    <col min="29" max="29" width="1.68359375" bestFit="1" customWidth="1"/>
    <col min="30" max="43" width="11.68359375" bestFit="1" customWidth="1"/>
    <col min="44" max="44" width="17.734375" bestFit="1" customWidth="1"/>
    <col min="45" max="45" width="21.15625" bestFit="1" customWidth="1"/>
  </cols>
  <sheetData>
    <row r="1" spans="1:2" x14ac:dyDescent="0.55000000000000004">
      <c r="A1" s="12" t="s">
        <v>87</v>
      </c>
      <c r="B1" t="s">
        <v>96</v>
      </c>
    </row>
    <row r="2" spans="1:2" x14ac:dyDescent="0.55000000000000004">
      <c r="A2" s="13">
        <v>0</v>
      </c>
      <c r="B2">
        <v>11.127617515688586</v>
      </c>
    </row>
    <row r="3" spans="1:2" x14ac:dyDescent="0.55000000000000004">
      <c r="A3" s="14">
        <v>-3.2992945434469307</v>
      </c>
      <c r="B3">
        <v>-3.2992945434469307</v>
      </c>
    </row>
    <row r="4" spans="1:2" x14ac:dyDescent="0.55000000000000004">
      <c r="A4" s="14">
        <v>-8.2449125814883749E-3</v>
      </c>
      <c r="B4">
        <v>-8.2449125814883749E-3</v>
      </c>
    </row>
    <row r="5" spans="1:2" x14ac:dyDescent="0.55000000000000004">
      <c r="A5" s="14">
        <v>0</v>
      </c>
      <c r="B5">
        <v>0</v>
      </c>
    </row>
    <row r="6" spans="1:2" x14ac:dyDescent="0.55000000000000004">
      <c r="A6" s="14">
        <v>2.0374905354244222</v>
      </c>
      <c r="B6">
        <v>2.0374905354244222</v>
      </c>
    </row>
    <row r="7" spans="1:2" x14ac:dyDescent="0.55000000000000004">
      <c r="A7" s="14">
        <v>2.0743117186546112</v>
      </c>
      <c r="B7">
        <v>2.0743117186546112</v>
      </c>
    </row>
    <row r="8" spans="1:2" x14ac:dyDescent="0.55000000000000004">
      <c r="A8" s="14">
        <v>2.1506196828334083</v>
      </c>
      <c r="B8">
        <v>2.1506196828334083</v>
      </c>
    </row>
    <row r="9" spans="1:2" x14ac:dyDescent="0.55000000000000004">
      <c r="A9" s="14">
        <v>2.3561514795354244</v>
      </c>
      <c r="B9">
        <v>2.3561514795354244</v>
      </c>
    </row>
    <row r="10" spans="1:2" x14ac:dyDescent="0.55000000000000004">
      <c r="A10" s="14">
        <v>2.7514551064389954</v>
      </c>
      <c r="B10">
        <v>2.7514551064389954</v>
      </c>
    </row>
    <row r="11" spans="1:2" x14ac:dyDescent="0.55000000000000004">
      <c r="A11" s="14">
        <v>3.0651284488301425</v>
      </c>
      <c r="B11">
        <v>3.0651284488301425</v>
      </c>
    </row>
    <row r="12" spans="1:2" x14ac:dyDescent="0.55000000000000004">
      <c r="A12" s="14" t="s">
        <v>95</v>
      </c>
    </row>
    <row r="13" spans="1:2" x14ac:dyDescent="0.55000000000000004">
      <c r="A13" s="13">
        <v>1</v>
      </c>
      <c r="B13">
        <v>8.7541748234640338</v>
      </c>
    </row>
    <row r="14" spans="1:2" x14ac:dyDescent="0.55000000000000004">
      <c r="A14" s="14">
        <v>-5.1664215002787532</v>
      </c>
      <c r="B14">
        <v>-5.1664215002787532</v>
      </c>
    </row>
    <row r="15" spans="1:2" x14ac:dyDescent="0.55000000000000004">
      <c r="A15" s="14">
        <v>-2.8315513665885321</v>
      </c>
      <c r="B15">
        <v>-2.8315513665885321</v>
      </c>
    </row>
    <row r="16" spans="1:2" x14ac:dyDescent="0.55000000000000004">
      <c r="A16" s="14">
        <v>1.2023752679231894</v>
      </c>
      <c r="B16">
        <v>1.2023752679231894</v>
      </c>
    </row>
    <row r="17" spans="1:2" x14ac:dyDescent="0.55000000000000004">
      <c r="A17" s="14">
        <v>2.1277939598343329</v>
      </c>
      <c r="B17">
        <v>2.1277939598343329</v>
      </c>
    </row>
    <row r="18" spans="1:2" x14ac:dyDescent="0.55000000000000004">
      <c r="A18" s="14">
        <v>2.5476053330685211</v>
      </c>
      <c r="B18">
        <v>2.5476053330685211</v>
      </c>
    </row>
    <row r="19" spans="1:2" x14ac:dyDescent="0.55000000000000004">
      <c r="A19" s="14">
        <v>3.1360963628243215</v>
      </c>
      <c r="B19">
        <v>3.1360963628243215</v>
      </c>
    </row>
    <row r="20" spans="1:2" x14ac:dyDescent="0.55000000000000004">
      <c r="A20" s="14">
        <v>4.1839579203989974</v>
      </c>
      <c r="B20">
        <v>4.1839579203989974</v>
      </c>
    </row>
    <row r="21" spans="1:2" x14ac:dyDescent="0.55000000000000004">
      <c r="A21" s="14">
        <v>3.5691809290323087</v>
      </c>
      <c r="B21">
        <v>3.5691809290323087</v>
      </c>
    </row>
    <row r="22" spans="1:2" x14ac:dyDescent="0.55000000000000004">
      <c r="A22" s="14">
        <v>-1.4862082750350905E-2</v>
      </c>
      <c r="B22">
        <v>-1.4862082750350905E-2</v>
      </c>
    </row>
    <row r="23" spans="1:2" x14ac:dyDescent="0.55000000000000004">
      <c r="A23" s="13">
        <v>2</v>
      </c>
      <c r="B23">
        <v>-0.24122388150498583</v>
      </c>
    </row>
    <row r="24" spans="1:2" x14ac:dyDescent="0.55000000000000004">
      <c r="A24" s="14">
        <v>-0.24122388150498583</v>
      </c>
      <c r="B24">
        <v>-0.24122388150498583</v>
      </c>
    </row>
    <row r="25" spans="1:2" x14ac:dyDescent="0.55000000000000004">
      <c r="A25" s="14">
        <v>0</v>
      </c>
      <c r="B25">
        <v>0</v>
      </c>
    </row>
    <row r="26" spans="1:2" x14ac:dyDescent="0.55000000000000004">
      <c r="A26" s="13">
        <v>3</v>
      </c>
      <c r="B26">
        <v>-5.7415132480482942</v>
      </c>
    </row>
    <row r="27" spans="1:2" x14ac:dyDescent="0.55000000000000004">
      <c r="A27" s="14">
        <v>-6.8217831514796163</v>
      </c>
      <c r="B27">
        <v>-6.8217831514796163</v>
      </c>
    </row>
    <row r="28" spans="1:2" x14ac:dyDescent="0.55000000000000004">
      <c r="A28" s="14">
        <v>0.2396254715489429</v>
      </c>
      <c r="B28">
        <v>0.2396254715489429</v>
      </c>
    </row>
    <row r="29" spans="1:2" x14ac:dyDescent="0.55000000000000004">
      <c r="A29" s="14">
        <v>0.84064443188237914</v>
      </c>
      <c r="B29">
        <v>0.84064443188237914</v>
      </c>
    </row>
    <row r="30" spans="1:2" x14ac:dyDescent="0.55000000000000004">
      <c r="A30" s="13" t="s">
        <v>95</v>
      </c>
      <c r="B30">
        <v>0</v>
      </c>
    </row>
    <row r="31" spans="1:2" x14ac:dyDescent="0.55000000000000004">
      <c r="A31" s="14">
        <v>0</v>
      </c>
      <c r="B31">
        <v>0</v>
      </c>
    </row>
    <row r="32" spans="1:2" x14ac:dyDescent="0.55000000000000004">
      <c r="A32" s="13" t="s">
        <v>88</v>
      </c>
      <c r="B32">
        <v>13.899055209599341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719DB-ED6D-4098-873C-67924B106986}">
  <dimension ref="A1:B5"/>
  <sheetViews>
    <sheetView workbookViewId="0"/>
  </sheetViews>
  <sheetFormatPr baseColWidth="10" defaultRowHeight="14.4" x14ac:dyDescent="0.55000000000000004"/>
  <cols>
    <col min="1" max="1" width="15.9453125" bestFit="1" customWidth="1"/>
    <col min="2" max="2" width="18" bestFit="1" customWidth="1"/>
  </cols>
  <sheetData>
    <row r="1" spans="1:2" x14ac:dyDescent="0.55000000000000004">
      <c r="A1" s="12" t="s">
        <v>87</v>
      </c>
      <c r="B1" t="s">
        <v>97</v>
      </c>
    </row>
    <row r="2" spans="1:2" x14ac:dyDescent="0.55000000000000004">
      <c r="A2" s="13" t="s">
        <v>90</v>
      </c>
      <c r="B2">
        <v>7</v>
      </c>
    </row>
    <row r="3" spans="1:2" x14ac:dyDescent="0.55000000000000004">
      <c r="A3" s="13" t="s">
        <v>91</v>
      </c>
      <c r="B3">
        <v>7</v>
      </c>
    </row>
    <row r="4" spans="1:2" x14ac:dyDescent="0.55000000000000004">
      <c r="A4" s="13" t="s">
        <v>92</v>
      </c>
      <c r="B4">
        <v>14</v>
      </c>
    </row>
    <row r="5" spans="1:2" x14ac:dyDescent="0.55000000000000004">
      <c r="A5" s="13" t="s">
        <v>88</v>
      </c>
      <c r="B5">
        <v>28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2892-40BD-466D-892C-0A371B6C89B3}">
  <dimension ref="A1:B16"/>
  <sheetViews>
    <sheetView workbookViewId="0">
      <selection activeCell="A3" sqref="A3"/>
    </sheetView>
  </sheetViews>
  <sheetFormatPr baseColWidth="10" defaultRowHeight="14.4" x14ac:dyDescent="0.55000000000000004"/>
  <cols>
    <col min="1" max="1" width="15.9453125" bestFit="1" customWidth="1"/>
    <col min="2" max="3" width="16.578125" bestFit="1" customWidth="1"/>
  </cols>
  <sheetData>
    <row r="1" spans="1:2" x14ac:dyDescent="0.55000000000000004">
      <c r="A1" s="12" t="s">
        <v>87</v>
      </c>
      <c r="B1" t="s">
        <v>114</v>
      </c>
    </row>
    <row r="2" spans="1:2" x14ac:dyDescent="0.55000000000000004">
      <c r="A2" s="13" t="s">
        <v>98</v>
      </c>
      <c r="B2">
        <v>0</v>
      </c>
    </row>
    <row r="3" spans="1:2" x14ac:dyDescent="0.55000000000000004">
      <c r="A3" s="13" t="s">
        <v>99</v>
      </c>
      <c r="B3">
        <v>1.5791232786430949</v>
      </c>
    </row>
    <row r="4" spans="1:2" x14ac:dyDescent="0.55000000000000004">
      <c r="A4" s="14" t="s">
        <v>101</v>
      </c>
      <c r="B4">
        <v>-0.33025057597211527</v>
      </c>
    </row>
    <row r="5" spans="1:2" x14ac:dyDescent="0.55000000000000004">
      <c r="A5" s="14" t="s">
        <v>102</v>
      </c>
      <c r="B5">
        <v>-2.4331640256706256E-3</v>
      </c>
    </row>
    <row r="6" spans="1:2" x14ac:dyDescent="0.55000000000000004">
      <c r="A6" s="14" t="s">
        <v>103</v>
      </c>
      <c r="B6">
        <v>0.16780351733606313</v>
      </c>
    </row>
    <row r="7" spans="1:2" x14ac:dyDescent="0.55000000000000004">
      <c r="A7" s="14" t="s">
        <v>104</v>
      </c>
      <c r="B7">
        <v>5.1514522648546092E-2</v>
      </c>
    </row>
    <row r="8" spans="1:2" x14ac:dyDescent="0.55000000000000004">
      <c r="A8" s="14" t="s">
        <v>105</v>
      </c>
      <c r="B8">
        <v>0.4220252088358884</v>
      </c>
    </row>
    <row r="9" spans="1:2" x14ac:dyDescent="0.55000000000000004">
      <c r="A9" s="14" t="s">
        <v>106</v>
      </c>
      <c r="B9">
        <v>0.74374381620741292</v>
      </c>
    </row>
    <row r="10" spans="1:2" x14ac:dyDescent="0.55000000000000004">
      <c r="A10" s="14" t="s">
        <v>107</v>
      </c>
      <c r="B10">
        <v>0.23698378346767307</v>
      </c>
    </row>
    <row r="11" spans="1:2" x14ac:dyDescent="0.55000000000000004">
      <c r="A11" s="14" t="s">
        <v>108</v>
      </c>
      <c r="B11">
        <v>0.53095524739344913</v>
      </c>
    </row>
    <row r="12" spans="1:2" x14ac:dyDescent="0.55000000000000004">
      <c r="A12" s="14" t="s">
        <v>109</v>
      </c>
      <c r="B12">
        <v>-0.26498497879682481</v>
      </c>
    </row>
    <row r="13" spans="1:2" x14ac:dyDescent="0.55000000000000004">
      <c r="A13" s="14" t="s">
        <v>110</v>
      </c>
      <c r="B13">
        <v>2.3765901548672832E-2</v>
      </c>
    </row>
    <row r="14" spans="1:2" x14ac:dyDescent="0.55000000000000004">
      <c r="A14" s="13" t="s">
        <v>100</v>
      </c>
      <c r="B14">
        <v>0.35851511461387509</v>
      </c>
    </row>
    <row r="15" spans="1:2" x14ac:dyDescent="0.55000000000000004">
      <c r="A15" s="14" t="s">
        <v>111</v>
      </c>
      <c r="B15">
        <v>0.35851511461387509</v>
      </c>
    </row>
    <row r="16" spans="1:2" x14ac:dyDescent="0.55000000000000004">
      <c r="A16" s="13" t="s">
        <v>88</v>
      </c>
      <c r="B16">
        <v>1.9376383932569698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A0838-469C-441F-ADF4-991B2FFEB38E}">
  <dimension ref="A1:B18"/>
  <sheetViews>
    <sheetView topLeftCell="A10" workbookViewId="0">
      <selection activeCell="A16" sqref="A16"/>
    </sheetView>
  </sheetViews>
  <sheetFormatPr baseColWidth="10" defaultRowHeight="14.4" x14ac:dyDescent="0.55000000000000004"/>
  <cols>
    <col min="1" max="1" width="15.9453125" bestFit="1" customWidth="1"/>
    <col min="2" max="2" width="18.62890625" bestFit="1" customWidth="1"/>
  </cols>
  <sheetData>
    <row r="1" spans="1:2" x14ac:dyDescent="0.55000000000000004">
      <c r="A1" s="12" t="s">
        <v>87</v>
      </c>
      <c r="B1" t="s">
        <v>113</v>
      </c>
    </row>
    <row r="2" spans="1:2" x14ac:dyDescent="0.55000000000000004">
      <c r="A2" s="13" t="s">
        <v>98</v>
      </c>
      <c r="B2" s="5">
        <v>99.14</v>
      </c>
    </row>
    <row r="3" spans="1:2" x14ac:dyDescent="0.55000000000000004">
      <c r="A3" s="14" t="s">
        <v>98</v>
      </c>
      <c r="B3" s="5">
        <v>99.14</v>
      </c>
    </row>
    <row r="4" spans="1:2" x14ac:dyDescent="0.55000000000000004">
      <c r="A4" s="15" t="s">
        <v>95</v>
      </c>
      <c r="B4" s="5">
        <v>99.14</v>
      </c>
    </row>
    <row r="5" spans="1:2" x14ac:dyDescent="0.55000000000000004">
      <c r="A5" s="13" t="s">
        <v>99</v>
      </c>
      <c r="B5" s="5">
        <v>112.3032512966422</v>
      </c>
    </row>
    <row r="6" spans="1:2" x14ac:dyDescent="0.55000000000000004">
      <c r="A6" s="14" t="s">
        <v>101</v>
      </c>
      <c r="B6" s="5">
        <v>99.379625471548948</v>
      </c>
    </row>
    <row r="7" spans="1:2" x14ac:dyDescent="0.55000000000000004">
      <c r="A7" s="14" t="s">
        <v>102</v>
      </c>
      <c r="B7" s="5">
        <v>89.48506707197582</v>
      </c>
    </row>
    <row r="8" spans="1:2" x14ac:dyDescent="0.55000000000000004">
      <c r="A8" s="14" t="s">
        <v>103</v>
      </c>
      <c r="B8" s="5">
        <v>86.185772528528886</v>
      </c>
    </row>
    <row r="9" spans="1:2" x14ac:dyDescent="0.55000000000000004">
      <c r="A9" s="14" t="s">
        <v>104</v>
      </c>
      <c r="B9" s="5">
        <v>87.026416960411268</v>
      </c>
    </row>
    <row r="10" spans="1:2" x14ac:dyDescent="0.55000000000000004">
      <c r="A10" s="14" t="s">
        <v>105</v>
      </c>
      <c r="B10" s="5">
        <v>91.210374880810264</v>
      </c>
    </row>
    <row r="11" spans="1:2" x14ac:dyDescent="0.55000000000000004">
      <c r="A11" s="14" t="s">
        <v>106</v>
      </c>
      <c r="B11" s="5">
        <v>99.665988815821422</v>
      </c>
    </row>
    <row r="12" spans="1:2" x14ac:dyDescent="0.55000000000000004">
      <c r="A12" s="14" t="s">
        <v>107</v>
      </c>
      <c r="B12" s="5">
        <v>104.49175564091503</v>
      </c>
    </row>
    <row r="13" spans="1:2" x14ac:dyDescent="0.55000000000000004">
      <c r="A13" s="14" t="s">
        <v>108</v>
      </c>
      <c r="B13" s="5">
        <v>109.75564596357368</v>
      </c>
    </row>
    <row r="14" spans="1:2" x14ac:dyDescent="0.55000000000000004">
      <c r="A14" s="14" t="s">
        <v>109</v>
      </c>
      <c r="B14" s="5">
        <v>112.3032512966422</v>
      </c>
    </row>
    <row r="15" spans="1:2" x14ac:dyDescent="0.55000000000000004">
      <c r="A15" s="14" t="s">
        <v>110</v>
      </c>
      <c r="B15" s="5">
        <v>109.48473636331738</v>
      </c>
    </row>
    <row r="16" spans="1:2" x14ac:dyDescent="0.55000000000000004">
      <c r="A16" s="13" t="s">
        <v>100</v>
      </c>
      <c r="B16" s="5">
        <v>113.05391729234969</v>
      </c>
    </row>
    <row r="17" spans="1:2" x14ac:dyDescent="0.55000000000000004">
      <c r="A17" s="14" t="s">
        <v>111</v>
      </c>
      <c r="B17" s="5">
        <v>113.05391729234969</v>
      </c>
    </row>
    <row r="18" spans="1:2" x14ac:dyDescent="0.55000000000000004">
      <c r="A18" s="13" t="s">
        <v>88</v>
      </c>
      <c r="B18" s="5">
        <v>113.05391729234969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96DDD-75EE-4D1E-BF60-A57D1CD4F40E}">
  <dimension ref="A1:AC30"/>
  <sheetViews>
    <sheetView zoomScale="71" zoomScaleNormal="71" workbookViewId="0">
      <pane xSplit="10" ySplit="19" topLeftCell="T20" activePane="bottomRight" state="frozen"/>
      <selection pane="topRight" activeCell="L1" sqref="L1"/>
      <selection pane="bottomLeft" activeCell="A19" sqref="A19"/>
      <selection pane="bottomRight" activeCell="A2" sqref="A2:AC30"/>
    </sheetView>
  </sheetViews>
  <sheetFormatPr baseColWidth="10" defaultRowHeight="14.4" x14ac:dyDescent="0.55000000000000004"/>
  <cols>
    <col min="1" max="1" width="14" customWidth="1"/>
    <col min="2" max="2" width="13.20703125" customWidth="1"/>
    <col min="5" max="5" width="18.7890625" customWidth="1"/>
    <col min="7" max="7" width="17.7890625" customWidth="1"/>
    <col min="10" max="10" width="15.47265625" customWidth="1"/>
    <col min="15" max="15" width="14" customWidth="1"/>
    <col min="16" max="16" width="12.3671875" customWidth="1"/>
    <col min="17" max="17" width="12.5234375" customWidth="1"/>
    <col min="18" max="18" width="11.734375" customWidth="1"/>
    <col min="19" max="19" width="11.05078125" customWidth="1"/>
    <col min="20" max="20" width="12.47265625" customWidth="1"/>
    <col min="21" max="21" width="11.62890625" customWidth="1"/>
    <col min="22" max="22" width="13.578125" customWidth="1"/>
    <col min="25" max="25" width="10.9453125" style="10"/>
    <col min="27" max="27" width="15.20703125" customWidth="1"/>
  </cols>
  <sheetData>
    <row r="1" spans="1:29" x14ac:dyDescent="0.55000000000000004">
      <c r="A1" t="s">
        <v>44</v>
      </c>
      <c r="B1" s="5">
        <v>99.14</v>
      </c>
      <c r="C1">
        <f>B1+SUM(X:X)</f>
        <v>113.03905520959934</v>
      </c>
    </row>
    <row r="2" spans="1:29" x14ac:dyDescent="0.55000000000000004">
      <c r="A2" s="1" t="s">
        <v>0</v>
      </c>
      <c r="B2" s="1" t="s">
        <v>1</v>
      </c>
      <c r="C2" s="1" t="s">
        <v>2</v>
      </c>
      <c r="D2" s="1" t="s">
        <v>64</v>
      </c>
      <c r="E2" s="1" t="s">
        <v>14</v>
      </c>
      <c r="F2" s="1" t="s">
        <v>59</v>
      </c>
      <c r="G2" s="1" t="s">
        <v>3</v>
      </c>
      <c r="H2" s="1" t="s">
        <v>4</v>
      </c>
      <c r="I2" s="1" t="s">
        <v>5</v>
      </c>
      <c r="J2" s="2" t="s">
        <v>82</v>
      </c>
      <c r="K2" s="2" t="s">
        <v>83</v>
      </c>
      <c r="L2" s="2" t="s">
        <v>24</v>
      </c>
      <c r="M2" s="1" t="s">
        <v>6</v>
      </c>
      <c r="N2" s="1" t="s">
        <v>7</v>
      </c>
      <c r="O2" s="1" t="s">
        <v>41</v>
      </c>
      <c r="P2" s="1" t="s">
        <v>43</v>
      </c>
      <c r="Q2" s="1" t="s">
        <v>42</v>
      </c>
      <c r="R2" s="1" t="s">
        <v>8</v>
      </c>
      <c r="S2" s="1" t="s">
        <v>60</v>
      </c>
      <c r="T2" s="1" t="s">
        <v>9</v>
      </c>
      <c r="U2" s="1" t="s">
        <v>10</v>
      </c>
      <c r="V2" s="1" t="s">
        <v>11</v>
      </c>
      <c r="W2" s="1" t="s">
        <v>12</v>
      </c>
      <c r="X2" s="1" t="s">
        <v>13</v>
      </c>
      <c r="Y2" s="11" t="s">
        <v>85</v>
      </c>
      <c r="Z2" s="1" t="s">
        <v>25</v>
      </c>
      <c r="AA2" s="1" t="s">
        <v>86</v>
      </c>
      <c r="AB2" s="2" t="s">
        <v>36</v>
      </c>
      <c r="AC2" t="s">
        <v>112</v>
      </c>
    </row>
    <row r="3" spans="1:29" x14ac:dyDescent="0.55000000000000004">
      <c r="A3" s="3">
        <v>45971</v>
      </c>
      <c r="C3" t="s">
        <v>34</v>
      </c>
      <c r="D3" t="s">
        <v>37</v>
      </c>
      <c r="F3" t="s">
        <v>37</v>
      </c>
      <c r="G3">
        <v>1.7707599999999999</v>
      </c>
      <c r="H3">
        <f t="shared" ref="H3:H13" si="0">(G3-M3)/G3*10</f>
        <v>1.9200795138809595E-2</v>
      </c>
      <c r="I3">
        <f>(N3-G3)/G3*10</f>
        <v>0.12435338498723797</v>
      </c>
      <c r="J3">
        <f>I3/H3</f>
        <v>6.4764705882356282</v>
      </c>
      <c r="K3">
        <f>($C$1*ABS(H3))/M3</f>
        <v>1.2280688381337725</v>
      </c>
      <c r="L3">
        <f>IF(F3&lt;&gt;0,Configuración!$G$2,0)</f>
        <v>5</v>
      </c>
      <c r="M3">
        <v>1.76736</v>
      </c>
      <c r="N3">
        <v>1.79278</v>
      </c>
      <c r="P3" t="str">
        <f t="shared" ref="P3:P13" si="1">IF(F3="UP",
    IF(O3 &gt; G3*(1+0.001),
        O3 - O3*0.005,
        ""
    ),
    IF(F3="DOWN",
        IF(O3 &lt; G3*(1-0.001),
            O3 + O3*0.005,
            ""
        ),
        ""
    )
)</f>
        <v/>
      </c>
      <c r="R3">
        <f t="shared" ref="R3:R28" si="2">ABS(($B$1) *(H3))</f>
        <v>1.9035668300615833</v>
      </c>
      <c r="S3" t="str">
        <f>IF(X3=0,"Beakeven",IF(X3&gt;0,"WIN","LOSE"))</f>
        <v>Beakeven</v>
      </c>
      <c r="W3">
        <f>IF(Q3&gt;0, IF(F3="DOWN", ((G3-Q3)/G3)*10, ((Q3-G3)/G3))*10, 0)</f>
        <v>0</v>
      </c>
      <c r="X3" s="5">
        <f>(W3*$B$1)/Y3</f>
        <v>0</v>
      </c>
      <c r="Y3" s="10">
        <f>VLOOKUP(C3,Configuración!$H$1:$I$11,2)</f>
        <v>10</v>
      </c>
      <c r="Z3" t="str">
        <f t="shared" ref="Z3:Z6" si="3">IF(AB3&lt;L3,"MANTENER","CERRAR")</f>
        <v>MANTENER</v>
      </c>
      <c r="AC3" s="5">
        <f>B1+Tabla2[[#This Row],[$ Retorno]]</f>
        <v>99.14</v>
      </c>
    </row>
    <row r="4" spans="1:29" x14ac:dyDescent="0.55000000000000004">
      <c r="C4" t="s">
        <v>32</v>
      </c>
      <c r="D4" t="s">
        <v>38</v>
      </c>
      <c r="F4" t="s">
        <v>38</v>
      </c>
      <c r="G4">
        <v>0.91556999999999999</v>
      </c>
      <c r="H4">
        <f t="shared" si="0"/>
        <v>-2.8725274965322383E-2</v>
      </c>
      <c r="I4">
        <f t="shared" ref="I4:I13" si="4">(N4-G4)/G4*10</f>
        <v>-8.3772950184037867E-2</v>
      </c>
      <c r="J4">
        <f t="shared" ref="J4:J6" si="5">I4/H4</f>
        <v>2.9163498098858907</v>
      </c>
      <c r="K4">
        <f t="shared" ref="K4:K28" si="6">($C$1*ABS(H4))/M4</f>
        <v>3.5363514950076218</v>
      </c>
      <c r="L4">
        <f>IF(F4&lt;&gt;0,Configuración!$G$2,0)</f>
        <v>5</v>
      </c>
      <c r="M4">
        <v>0.91820000000000002</v>
      </c>
      <c r="N4">
        <v>0.90790000000000004</v>
      </c>
      <c r="P4">
        <f t="shared" si="1"/>
        <v>0</v>
      </c>
      <c r="R4">
        <f t="shared" si="2"/>
        <v>2.8478237600620613</v>
      </c>
      <c r="S4" t="str">
        <f t="shared" ref="S4:S28" si="7">IF(X4=0,"Beakeven",IF(X4&gt;0,"WIN","LOSE"))</f>
        <v>Beakeven</v>
      </c>
      <c r="W4">
        <f t="shared" ref="W4:W28" si="8">IF(Q4&gt;0, IF(F4="DOWN", ((G4-Q4)/G4)*10, ((Q4-G4)/G4))*10, 0)</f>
        <v>0</v>
      </c>
      <c r="X4" s="5">
        <f t="shared" ref="X4:X22" si="9">(W4*$B$1)/Y4</f>
        <v>0</v>
      </c>
      <c r="Y4" s="10">
        <f>VLOOKUP(C4,Configuración!$H$1:$I$11,2)</f>
        <v>1</v>
      </c>
      <c r="Z4" t="str">
        <f t="shared" si="3"/>
        <v>MANTENER</v>
      </c>
      <c r="AB4">
        <f t="shared" ref="AB4:AB28" si="10">T4-A4</f>
        <v>0</v>
      </c>
      <c r="AC4" s="5">
        <f>Tabla2[[#This Row],[$ Retorno]]+AC3</f>
        <v>99.14</v>
      </c>
    </row>
    <row r="5" spans="1:29" x14ac:dyDescent="0.55000000000000004">
      <c r="C5" t="s">
        <v>29</v>
      </c>
      <c r="D5" t="s">
        <v>38</v>
      </c>
      <c r="F5" t="s">
        <v>38</v>
      </c>
      <c r="G5">
        <v>0.80528999999999995</v>
      </c>
      <c r="H5">
        <f t="shared" si="0"/>
        <v>-2.8561139465286791E-2</v>
      </c>
      <c r="I5">
        <f t="shared" si="4"/>
        <v>-0.12927020079722734</v>
      </c>
      <c r="J5">
        <f t="shared" si="5"/>
        <v>4.5260869565215476</v>
      </c>
      <c r="K5">
        <f t="shared" si="6"/>
        <v>3.9977268426622667</v>
      </c>
      <c r="L5">
        <f>IF(F5&lt;&gt;0,Configuración!$G$2,0)</f>
        <v>5</v>
      </c>
      <c r="M5">
        <v>0.80759000000000003</v>
      </c>
      <c r="N5">
        <v>0.79488000000000003</v>
      </c>
      <c r="P5">
        <f t="shared" si="1"/>
        <v>0</v>
      </c>
      <c r="R5">
        <f t="shared" si="2"/>
        <v>2.8315513665885326</v>
      </c>
      <c r="S5" t="str">
        <f t="shared" si="7"/>
        <v>Beakeven</v>
      </c>
      <c r="W5">
        <f t="shared" si="8"/>
        <v>0</v>
      </c>
      <c r="X5" s="5">
        <f t="shared" si="9"/>
        <v>0</v>
      </c>
      <c r="Y5" s="10">
        <f>VLOOKUP(C5,Configuración!$H$1:$I$11,2)</f>
        <v>10</v>
      </c>
      <c r="Z5" t="str">
        <f t="shared" si="3"/>
        <v>MANTENER</v>
      </c>
      <c r="AB5">
        <f t="shared" si="10"/>
        <v>0</v>
      </c>
      <c r="AC5" s="5">
        <f>Tabla2[[#This Row],[$ Retorno]]+AC4</f>
        <v>99.14</v>
      </c>
    </row>
    <row r="6" spans="1:29" x14ac:dyDescent="0.55000000000000004">
      <c r="C6" t="s">
        <v>26</v>
      </c>
      <c r="D6" t="s">
        <v>37</v>
      </c>
      <c r="F6" t="s">
        <v>81</v>
      </c>
      <c r="G6">
        <v>0.64973000000000003</v>
      </c>
      <c r="H6">
        <f t="shared" si="0"/>
        <v>4.3864374432456846E-2</v>
      </c>
      <c r="I6">
        <f t="shared" si="4"/>
        <v>0.18977113570252183</v>
      </c>
      <c r="J6">
        <f t="shared" si="5"/>
        <v>4.3263157894736386</v>
      </c>
      <c r="K6">
        <f t="shared" si="6"/>
        <v>7.6650807618183086</v>
      </c>
      <c r="L6">
        <f>IF(F6&lt;&gt;0,Configuración!$G$2,0)</f>
        <v>5</v>
      </c>
      <c r="M6">
        <v>0.64688000000000001</v>
      </c>
      <c r="N6">
        <v>0.66205999999999998</v>
      </c>
      <c r="P6" t="str">
        <f t="shared" si="1"/>
        <v/>
      </c>
      <c r="R6">
        <f t="shared" si="2"/>
        <v>4.3487140812337719</v>
      </c>
      <c r="S6" t="str">
        <f t="shared" si="7"/>
        <v>Beakeven</v>
      </c>
      <c r="W6">
        <f t="shared" si="8"/>
        <v>0</v>
      </c>
      <c r="X6" s="5">
        <f t="shared" si="9"/>
        <v>0</v>
      </c>
      <c r="Y6" s="10">
        <f>VLOOKUP(C6,Configuración!$H$1:$I$11,2)</f>
        <v>1</v>
      </c>
      <c r="Z6" t="str">
        <f t="shared" si="3"/>
        <v>MANTENER</v>
      </c>
      <c r="AB6">
        <f t="shared" si="10"/>
        <v>0</v>
      </c>
      <c r="AC6" s="5">
        <f>Tabla2[[#This Row],[$ Retorno]]+AC5</f>
        <v>99.14</v>
      </c>
    </row>
    <row r="7" spans="1:29" x14ac:dyDescent="0.55000000000000004">
      <c r="A7" s="3">
        <v>45971</v>
      </c>
      <c r="C7" t="s">
        <v>34</v>
      </c>
      <c r="D7" t="s">
        <v>37</v>
      </c>
      <c r="F7" t="s">
        <v>37</v>
      </c>
      <c r="G7">
        <v>1.7707599999999999</v>
      </c>
      <c r="H7">
        <f t="shared" si="0"/>
        <v>1.9200795138809595E-2</v>
      </c>
      <c r="I7">
        <f t="shared" si="4"/>
        <v>0.12435338498723797</v>
      </c>
      <c r="J7">
        <f>I7/H7</f>
        <v>6.4764705882356282</v>
      </c>
      <c r="K7">
        <f t="shared" si="6"/>
        <v>1.2280688381337725</v>
      </c>
      <c r="L7">
        <f>IF(F7&lt;&gt;0,Configuración!$G$2,0)</f>
        <v>5</v>
      </c>
      <c r="M7">
        <v>1.76736</v>
      </c>
      <c r="N7">
        <v>1.79278</v>
      </c>
      <c r="O7">
        <v>1.7699199999999999</v>
      </c>
      <c r="P7" t="str">
        <f t="shared" si="1"/>
        <v/>
      </c>
      <c r="Q7">
        <v>1.77504</v>
      </c>
      <c r="R7">
        <f t="shared" si="2"/>
        <v>1.9035668300615833</v>
      </c>
      <c r="S7" t="str">
        <f t="shared" si="7"/>
        <v>WIN</v>
      </c>
      <c r="T7" s="3">
        <v>45974</v>
      </c>
      <c r="W7">
        <f t="shared" si="8"/>
        <v>2.417041270414998E-2</v>
      </c>
      <c r="X7" s="5">
        <f t="shared" si="9"/>
        <v>0.2396254715489429</v>
      </c>
      <c r="Y7" s="10">
        <f>VLOOKUP(C7,Configuración!$H$1:$I$11,2)</f>
        <v>10</v>
      </c>
      <c r="Z7" t="str">
        <f t="shared" ref="Z7:Z11" si="11">IF(AB7&lt;L7,"MANTENER","CERRAR")</f>
        <v>MANTENER</v>
      </c>
      <c r="AB7">
        <f t="shared" si="10"/>
        <v>3</v>
      </c>
      <c r="AC7" s="5">
        <f>Tabla2[[#This Row],[$ Retorno]]+AC6</f>
        <v>99.379625471548948</v>
      </c>
    </row>
    <row r="8" spans="1:29" x14ac:dyDescent="0.55000000000000004">
      <c r="A8" s="3">
        <v>45971</v>
      </c>
      <c r="C8" t="s">
        <v>32</v>
      </c>
      <c r="D8" t="s">
        <v>38</v>
      </c>
      <c r="F8" t="s">
        <v>38</v>
      </c>
      <c r="G8">
        <v>0.91556999999999999</v>
      </c>
      <c r="H8">
        <f t="shared" si="0"/>
        <v>-2.8725274965322383E-2</v>
      </c>
      <c r="I8">
        <f t="shared" si="4"/>
        <v>-8.3772950184037867E-2</v>
      </c>
      <c r="J8">
        <f t="shared" ref="J8:J28" si="12">I8/H8</f>
        <v>2.9163498098858907</v>
      </c>
      <c r="K8">
        <f t="shared" si="6"/>
        <v>3.5363514950076218</v>
      </c>
      <c r="L8">
        <f>IF(F8&lt;&gt;0,Configuración!$G$2,0)</f>
        <v>5</v>
      </c>
      <c r="M8">
        <v>0.91820000000000002</v>
      </c>
      <c r="N8">
        <v>0.90790000000000004</v>
      </c>
      <c r="O8">
        <v>0.91642999999999997</v>
      </c>
      <c r="P8" t="str">
        <f t="shared" si="1"/>
        <v/>
      </c>
      <c r="Q8">
        <v>0.91620000000000001</v>
      </c>
      <c r="R8">
        <f t="shared" si="2"/>
        <v>2.8478237600620613</v>
      </c>
      <c r="S8" t="str">
        <f t="shared" si="7"/>
        <v>LOSE</v>
      </c>
      <c r="T8" s="3">
        <v>45974</v>
      </c>
      <c r="W8">
        <f t="shared" si="8"/>
        <v>-6.8809594023397383E-2</v>
      </c>
      <c r="X8" s="5">
        <f t="shared" si="9"/>
        <v>-6.8217831514796163</v>
      </c>
      <c r="Y8" s="10">
        <f>VLOOKUP(C8,Configuración!$H$1:$I$11,2)</f>
        <v>1</v>
      </c>
      <c r="Z8" t="str">
        <f t="shared" si="11"/>
        <v>MANTENER</v>
      </c>
      <c r="AB8">
        <f t="shared" si="10"/>
        <v>3</v>
      </c>
      <c r="AC8" s="5">
        <f>Tabla2[[#This Row],[$ Retorno]]+AC7</f>
        <v>92.557842320069327</v>
      </c>
    </row>
    <row r="9" spans="1:29" x14ac:dyDescent="0.55000000000000004">
      <c r="A9" s="3">
        <v>45971</v>
      </c>
      <c r="C9" t="s">
        <v>29</v>
      </c>
      <c r="D9" t="s">
        <v>38</v>
      </c>
      <c r="F9" t="s">
        <v>38</v>
      </c>
      <c r="G9">
        <v>0.80528999999999995</v>
      </c>
      <c r="H9">
        <f t="shared" si="0"/>
        <v>-2.8561139465286791E-2</v>
      </c>
      <c r="I9">
        <f t="shared" si="4"/>
        <v>-0.12927020079722734</v>
      </c>
      <c r="J9">
        <f t="shared" si="12"/>
        <v>4.5260869565215476</v>
      </c>
      <c r="K9">
        <f t="shared" si="6"/>
        <v>3.9977268426622667</v>
      </c>
      <c r="L9">
        <f>IF(F9&lt;&gt;0,Configuración!$G$2,0)</f>
        <v>5</v>
      </c>
      <c r="M9">
        <v>0.80759000000000003</v>
      </c>
      <c r="N9">
        <v>0.79488000000000003</v>
      </c>
      <c r="P9">
        <f t="shared" si="1"/>
        <v>0</v>
      </c>
      <c r="Q9">
        <v>0.80759000000000003</v>
      </c>
      <c r="R9">
        <f t="shared" si="2"/>
        <v>2.8315513665885326</v>
      </c>
      <c r="S9" t="str">
        <f t="shared" si="7"/>
        <v>LOSE</v>
      </c>
      <c r="T9" s="3">
        <v>45972</v>
      </c>
      <c r="V9" t="s">
        <v>39</v>
      </c>
      <c r="W9">
        <f t="shared" si="8"/>
        <v>-0.28561139465286789</v>
      </c>
      <c r="X9" s="5">
        <f t="shared" si="9"/>
        <v>-2.8315513665885321</v>
      </c>
      <c r="Y9" s="10">
        <f>VLOOKUP(C9,Configuración!$H$1:$I$11,2)</f>
        <v>10</v>
      </c>
      <c r="Z9" t="str">
        <f t="shared" si="11"/>
        <v>MANTENER</v>
      </c>
      <c r="AB9">
        <f t="shared" si="10"/>
        <v>1</v>
      </c>
      <c r="AC9" s="5">
        <f>Tabla2[[#This Row],[$ Retorno]]+AC8</f>
        <v>89.726290953480799</v>
      </c>
    </row>
    <row r="10" spans="1:29" x14ac:dyDescent="0.55000000000000004">
      <c r="C10" t="s">
        <v>26</v>
      </c>
      <c r="D10" t="s">
        <v>37</v>
      </c>
      <c r="F10" t="s">
        <v>81</v>
      </c>
      <c r="G10">
        <v>0.64973000000000003</v>
      </c>
      <c r="H10">
        <f t="shared" si="0"/>
        <v>4.3864374432456846E-2</v>
      </c>
      <c r="I10">
        <f t="shared" si="4"/>
        <v>0.18977113570252183</v>
      </c>
      <c r="J10">
        <f t="shared" si="12"/>
        <v>4.3263157894736386</v>
      </c>
      <c r="K10">
        <f t="shared" si="6"/>
        <v>7.6650807618183086</v>
      </c>
      <c r="L10">
        <f>IF(F10&lt;&gt;0,Configuración!$G$2,0)</f>
        <v>5</v>
      </c>
      <c r="M10">
        <v>0.64688000000000001</v>
      </c>
      <c r="N10">
        <v>0.66205999999999998</v>
      </c>
      <c r="P10" t="str">
        <f t="shared" si="1"/>
        <v/>
      </c>
      <c r="R10">
        <f t="shared" si="2"/>
        <v>4.3487140812337719</v>
      </c>
      <c r="S10" t="str">
        <f t="shared" si="7"/>
        <v>Beakeven</v>
      </c>
      <c r="W10">
        <f t="shared" si="8"/>
        <v>0</v>
      </c>
      <c r="X10" s="5">
        <f t="shared" si="9"/>
        <v>0</v>
      </c>
      <c r="Y10" s="10">
        <f>VLOOKUP(C10,Configuración!$H$1:$I$11,2)</f>
        <v>1</v>
      </c>
      <c r="Z10" t="str">
        <f t="shared" si="11"/>
        <v>MANTENER</v>
      </c>
      <c r="AB10">
        <f t="shared" si="10"/>
        <v>0</v>
      </c>
      <c r="AC10" s="5">
        <f>Tabla2[[#This Row],[$ Retorno]]+AC9</f>
        <v>89.726290953480799</v>
      </c>
    </row>
    <row r="11" spans="1:29" x14ac:dyDescent="0.55000000000000004">
      <c r="A11" s="3">
        <v>45972</v>
      </c>
      <c r="C11" t="s">
        <v>28</v>
      </c>
      <c r="D11" t="s">
        <v>37</v>
      </c>
      <c r="F11" t="s">
        <v>37</v>
      </c>
      <c r="G11">
        <v>1.3151600000000001</v>
      </c>
      <c r="H11">
        <f t="shared" si="0"/>
        <v>5.1628699169683337E-2</v>
      </c>
      <c r="I11">
        <f t="shared" si="4"/>
        <v>0.17549195535144002</v>
      </c>
      <c r="J11">
        <f t="shared" si="12"/>
        <v>3.3991163475699167</v>
      </c>
      <c r="K11">
        <f t="shared" si="6"/>
        <v>4.4605573162344214</v>
      </c>
      <c r="L11">
        <f>IF(F11&lt;&gt;0,Configuración!$G$2,0)</f>
        <v>5</v>
      </c>
      <c r="M11">
        <v>1.30837</v>
      </c>
      <c r="N11">
        <v>1.3382400000000001</v>
      </c>
      <c r="O11">
        <v>1.3109</v>
      </c>
      <c r="P11" t="str">
        <f t="shared" si="1"/>
        <v/>
      </c>
      <c r="Q11">
        <v>1.31484</v>
      </c>
      <c r="R11">
        <f t="shared" si="2"/>
        <v>5.1184692356824062</v>
      </c>
      <c r="S11" t="str">
        <f t="shared" si="7"/>
        <v>LOSE</v>
      </c>
      <c r="T11" s="3">
        <v>45974</v>
      </c>
      <c r="W11">
        <f t="shared" si="8"/>
        <v>-2.4331640256706256E-3</v>
      </c>
      <c r="X11" s="5">
        <f t="shared" si="9"/>
        <v>-0.24122388150498583</v>
      </c>
      <c r="Y11" s="10">
        <f>VLOOKUP(C11,Configuración!$H$1:$I$11,2)</f>
        <v>1</v>
      </c>
      <c r="Z11" t="str">
        <f t="shared" si="11"/>
        <v>MANTENER</v>
      </c>
      <c r="AB11">
        <f t="shared" si="10"/>
        <v>2</v>
      </c>
      <c r="AC11" s="5">
        <f>Tabla2[[#This Row],[$ Retorno]]+AC10</f>
        <v>89.48506707197582</v>
      </c>
    </row>
    <row r="12" spans="1:29" x14ac:dyDescent="0.55000000000000004">
      <c r="A12" s="3">
        <v>45978</v>
      </c>
      <c r="C12" t="s">
        <v>26</v>
      </c>
      <c r="D12" t="s">
        <v>37</v>
      </c>
      <c r="F12" t="s">
        <v>37</v>
      </c>
      <c r="G12">
        <v>0.65205999999999997</v>
      </c>
      <c r="H12">
        <f t="shared" si="0"/>
        <v>3.3432506211084255E-2</v>
      </c>
      <c r="I12">
        <f t="shared" si="4"/>
        <v>0.14875931662730488</v>
      </c>
      <c r="J12">
        <f t="shared" si="12"/>
        <v>4.4495412844037707</v>
      </c>
      <c r="K12">
        <f t="shared" si="6"/>
        <v>5.8151949827507012</v>
      </c>
      <c r="L12">
        <f>IF(F12&lt;&gt;0,Configuración!$G$2,0)</f>
        <v>5</v>
      </c>
      <c r="M12">
        <v>0.64988000000000001</v>
      </c>
      <c r="N12">
        <v>0.66176000000000001</v>
      </c>
      <c r="P12" t="str">
        <f t="shared" si="1"/>
        <v/>
      </c>
      <c r="Q12">
        <v>0.64988999999999997</v>
      </c>
      <c r="R12">
        <f t="shared" si="2"/>
        <v>3.3144986657668931</v>
      </c>
      <c r="S12" t="str">
        <f t="shared" si="7"/>
        <v>LOSE</v>
      </c>
      <c r="T12" s="3">
        <v>45978</v>
      </c>
      <c r="V12" t="s">
        <v>39</v>
      </c>
      <c r="W12">
        <f t="shared" si="8"/>
        <v>-3.3279146090850621E-2</v>
      </c>
      <c r="X12" s="5">
        <f t="shared" si="9"/>
        <v>-3.2992945434469307</v>
      </c>
      <c r="Y12" s="10">
        <f>VLOOKUP(C12,Configuración!$H$1:$I$11,2)</f>
        <v>1</v>
      </c>
      <c r="Z12" t="str">
        <f t="shared" ref="Z12:Z15" si="13">IF(AB12&lt;L12,"MANTENER","CERRAR")</f>
        <v>MANTENER</v>
      </c>
      <c r="AB12">
        <f t="shared" si="10"/>
        <v>0</v>
      </c>
      <c r="AC12" s="5">
        <f>Tabla2[[#This Row],[$ Retorno]]+AC11</f>
        <v>86.185772528528886</v>
      </c>
    </row>
    <row r="13" spans="1:29" x14ac:dyDescent="0.55000000000000004">
      <c r="A13" s="3">
        <v>45974</v>
      </c>
      <c r="C13" t="s">
        <v>32</v>
      </c>
      <c r="D13" t="s">
        <v>38</v>
      </c>
      <c r="F13" t="s">
        <v>38</v>
      </c>
      <c r="G13">
        <v>0.91774</v>
      </c>
      <c r="H13">
        <f t="shared" si="0"/>
        <v>-1.5908645150042679E-2</v>
      </c>
      <c r="I13">
        <f t="shared" si="4"/>
        <v>-3.4105520081940045E-2</v>
      </c>
      <c r="J13">
        <f t="shared" si="12"/>
        <v>2.1438356164383081</v>
      </c>
      <c r="K13">
        <f t="shared" si="6"/>
        <v>1.9563731695230624</v>
      </c>
      <c r="M13">
        <v>0.91920000000000002</v>
      </c>
      <c r="N13">
        <v>0.91461000000000003</v>
      </c>
      <c r="P13">
        <f t="shared" si="1"/>
        <v>0</v>
      </c>
      <c r="Q13">
        <v>0.91620000000000001</v>
      </c>
      <c r="R13">
        <f t="shared" si="2"/>
        <v>1.5771830801752311</v>
      </c>
      <c r="S13" t="str">
        <f t="shared" si="7"/>
        <v>Beakeven</v>
      </c>
      <c r="T13" s="3">
        <v>45974</v>
      </c>
      <c r="W13">
        <f t="shared" si="8"/>
        <v>0.16780351733606313</v>
      </c>
      <c r="X13" s="5"/>
      <c r="AB13">
        <f t="shared" si="10"/>
        <v>0</v>
      </c>
      <c r="AC13" s="5">
        <f>Tabla2[[#This Row],[$ Retorno]]+AC12</f>
        <v>86.185772528528886</v>
      </c>
    </row>
    <row r="14" spans="1:29" x14ac:dyDescent="0.55000000000000004">
      <c r="A14" s="3">
        <v>45978</v>
      </c>
      <c r="C14" t="s">
        <v>35</v>
      </c>
      <c r="D14" t="s">
        <v>38</v>
      </c>
      <c r="F14" t="s">
        <v>38</v>
      </c>
      <c r="G14">
        <v>194.59</v>
      </c>
      <c r="H14">
        <f t="shared" ref="H14:H28" si="14">(G14-M14)/G14*10</f>
        <v>-5.1852613186699523E-2</v>
      </c>
      <c r="I14">
        <f t="shared" ref="I14:I28" si="15">(N14-G14)/G14*10</f>
        <v>-0.2409681895266968</v>
      </c>
      <c r="J14">
        <f t="shared" si="12"/>
        <v>4.6471754212091758</v>
      </c>
      <c r="K14">
        <f>($C$1*ABS(H14))/M14</f>
        <v>2.996625956560783E-2</v>
      </c>
      <c r="L14">
        <f>IF(F14&lt;&gt;0,Configuración!$G$2,0)</f>
        <v>5</v>
      </c>
      <c r="M14">
        <v>195.59899999999999</v>
      </c>
      <c r="N14">
        <v>189.90100000000001</v>
      </c>
      <c r="O14">
        <v>194.26900000000001</v>
      </c>
      <c r="P14">
        <f>IF(F14="UP",
    IF(O14 &gt; G14*(1+0.001),
        O14 - O14*0.005,
        ""
    ),
    IF(F14="DOWN",
        IF(O14 &lt; G14*(1-0.001),
            O14 + O14*0.005,
            ""
        ),
        ""
    )
)</f>
        <v>195.24034500000002</v>
      </c>
      <c r="Q14">
        <v>194.42500000000001</v>
      </c>
      <c r="R14">
        <f t="shared" si="2"/>
        <v>5.1406680713293911</v>
      </c>
      <c r="S14" t="str">
        <f t="shared" si="7"/>
        <v>WIN</v>
      </c>
      <c r="T14" s="3">
        <v>45981</v>
      </c>
      <c r="W14">
        <f t="shared" si="8"/>
        <v>8.4793668739396713E-2</v>
      </c>
      <c r="X14" s="5">
        <f t="shared" si="9"/>
        <v>0.84064443188237914</v>
      </c>
      <c r="Y14" s="10">
        <f>VLOOKUP(C14,Configuración!$H$1:$I$11,2)</f>
        <v>10</v>
      </c>
      <c r="Z14" t="str">
        <f t="shared" si="13"/>
        <v>MANTENER</v>
      </c>
      <c r="AB14">
        <f t="shared" si="10"/>
        <v>3</v>
      </c>
      <c r="AC14" s="5">
        <f>Tabla2[[#This Row],[$ Retorno]]+AC13</f>
        <v>87.026416960411268</v>
      </c>
    </row>
    <row r="15" spans="1:29" x14ac:dyDescent="0.55000000000000004">
      <c r="A15" s="3">
        <v>45978</v>
      </c>
      <c r="C15" t="s">
        <v>28</v>
      </c>
      <c r="D15" t="s">
        <v>38</v>
      </c>
      <c r="F15" t="s">
        <v>38</v>
      </c>
      <c r="G15">
        <v>1.3184100000000001</v>
      </c>
      <c r="H15">
        <f t="shared" si="14"/>
        <v>-3.0794669336548966E-2</v>
      </c>
      <c r="I15">
        <f t="shared" si="15"/>
        <v>-7.4711205163796812E-2</v>
      </c>
      <c r="J15">
        <f t="shared" si="12"/>
        <v>2.4261083743842984</v>
      </c>
      <c r="K15">
        <f t="shared" si="6"/>
        <v>2.632196062894065</v>
      </c>
      <c r="L15">
        <f>IF(F15&lt;&gt;0,Configuración!$G$2,0)</f>
        <v>5</v>
      </c>
      <c r="M15">
        <v>1.32247</v>
      </c>
      <c r="N15">
        <v>1.3085599999999999</v>
      </c>
      <c r="O15">
        <v>1.3147</v>
      </c>
      <c r="P15">
        <f>IF(F15="UP",
    IF(O15 &gt; G15*(1+0.001),
        O15 - O15*0.005,
        ""
    ),
    IF(F15="DOWN",
        IF(O15 &lt; G15*(1-0.001),
            O15 + O15*0.005,
            ""
        ),
        ""
    )
)</f>
        <v>1.3212735</v>
      </c>
      <c r="R15">
        <f t="shared" si="2"/>
        <v>3.0529835180254645</v>
      </c>
      <c r="S15" t="str">
        <f t="shared" si="7"/>
        <v>Beakeven</v>
      </c>
      <c r="T15" s="3">
        <v>45980</v>
      </c>
      <c r="W15">
        <f t="shared" si="8"/>
        <v>0</v>
      </c>
      <c r="X15" s="5">
        <f t="shared" si="9"/>
        <v>0</v>
      </c>
      <c r="Y15" s="10">
        <f>VLOOKUP(C15,Configuración!$H$1:$I$11,2)</f>
        <v>1</v>
      </c>
      <c r="Z15" t="str">
        <f t="shared" si="13"/>
        <v>MANTENER</v>
      </c>
      <c r="AB15">
        <f t="shared" si="10"/>
        <v>2</v>
      </c>
      <c r="AC15" s="5">
        <f>Tabla2[[#This Row],[$ Retorno]]+AC14</f>
        <v>87.026416960411268</v>
      </c>
    </row>
    <row r="16" spans="1:29" x14ac:dyDescent="0.55000000000000004">
      <c r="A16" s="3">
        <v>45981</v>
      </c>
      <c r="C16" t="s">
        <v>35</v>
      </c>
      <c r="D16" t="s">
        <v>38</v>
      </c>
      <c r="F16" t="s">
        <v>38</v>
      </c>
      <c r="G16">
        <v>195.249</v>
      </c>
      <c r="H16">
        <f t="shared" si="14"/>
        <v>-3.9590471654143991E-2</v>
      </c>
      <c r="I16">
        <f t="shared" si="15"/>
        <v>-0.2739066525308701</v>
      </c>
      <c r="J16">
        <f t="shared" si="12"/>
        <v>6.9184993531694863</v>
      </c>
      <c r="K16">
        <f t="shared" si="6"/>
        <v>2.2830445108645254E-2</v>
      </c>
      <c r="L16">
        <f>IF(F16&lt;&gt;0,Configuración!$G$2,0)</f>
        <v>5</v>
      </c>
      <c r="M16">
        <v>196.02199999999999</v>
      </c>
      <c r="N16">
        <v>189.90100000000001</v>
      </c>
      <c r="Q16">
        <v>194.42500000000001</v>
      </c>
      <c r="R16">
        <f t="shared" si="2"/>
        <v>3.9249993597918351</v>
      </c>
      <c r="S16" t="str">
        <f t="shared" si="7"/>
        <v>WIN</v>
      </c>
      <c r="T16" s="3">
        <v>45982</v>
      </c>
      <c r="W16">
        <f t="shared" si="8"/>
        <v>0.4220252088358884</v>
      </c>
      <c r="X16" s="5">
        <f t="shared" si="9"/>
        <v>4.1839579203989974</v>
      </c>
      <c r="Y16" s="10">
        <f>VLOOKUP(C16,Configuración!$H$1:$I$11,2)</f>
        <v>10</v>
      </c>
      <c r="AB16">
        <f t="shared" si="10"/>
        <v>1</v>
      </c>
      <c r="AC16" s="5">
        <f>Tabla2[[#This Row],[$ Retorno]]+AC15</f>
        <v>91.210374880810264</v>
      </c>
    </row>
    <row r="17" spans="1:29" x14ac:dyDescent="0.55000000000000004">
      <c r="A17" s="3">
        <v>45985</v>
      </c>
      <c r="C17" t="s">
        <v>34</v>
      </c>
      <c r="D17" t="s">
        <v>38</v>
      </c>
      <c r="F17" t="s">
        <v>38</v>
      </c>
      <c r="G17">
        <v>1.7886500000000001</v>
      </c>
      <c r="H17">
        <f t="shared" si="14"/>
        <v>-2.9351745730019717E-2</v>
      </c>
      <c r="I17">
        <f t="shared" si="15"/>
        <v>-0.13132809660917458</v>
      </c>
      <c r="J17">
        <f t="shared" si="12"/>
        <v>4.4742857142857364</v>
      </c>
      <c r="K17">
        <f t="shared" si="6"/>
        <v>1.8495421183309106</v>
      </c>
      <c r="L17">
        <f>IF(F17&lt;&gt;0,Configuración!$G$2,0)</f>
        <v>5</v>
      </c>
      <c r="M17">
        <v>1.7939000000000001</v>
      </c>
      <c r="N17">
        <v>1.7651600000000001</v>
      </c>
      <c r="Q17">
        <v>1.78312</v>
      </c>
      <c r="R17">
        <f t="shared" si="2"/>
        <v>2.9099320716741546</v>
      </c>
      <c r="S17" t="str">
        <f t="shared" si="7"/>
        <v>WIN</v>
      </c>
      <c r="T17" s="3">
        <v>45985</v>
      </c>
      <c r="W17">
        <f t="shared" si="8"/>
        <v>0.30917172168954432</v>
      </c>
      <c r="X17" s="5">
        <f t="shared" si="9"/>
        <v>3.0651284488301425</v>
      </c>
      <c r="Y17" s="10">
        <f>VLOOKUP(C17,Configuración!$H$1:$I$11,2)</f>
        <v>10</v>
      </c>
      <c r="AB17">
        <f t="shared" si="10"/>
        <v>0</v>
      </c>
      <c r="AC17" s="5">
        <f>Tabla2[[#This Row],[$ Retorno]]+AC16</f>
        <v>94.275503329640401</v>
      </c>
    </row>
    <row r="18" spans="1:29" x14ac:dyDescent="0.55000000000000004">
      <c r="A18" s="3">
        <v>45985</v>
      </c>
      <c r="C18" t="s">
        <v>28</v>
      </c>
      <c r="D18" t="s">
        <v>37</v>
      </c>
      <c r="F18" t="s">
        <v>37</v>
      </c>
      <c r="G18">
        <v>1.31101</v>
      </c>
      <c r="H18">
        <f t="shared" si="14"/>
        <v>2.2883120647440629E-2</v>
      </c>
      <c r="I18">
        <f t="shared" si="15"/>
        <v>8.4286161051403144E-2</v>
      </c>
      <c r="J18">
        <f t="shared" si="12"/>
        <v>3.6833333333331946</v>
      </c>
      <c r="K18">
        <f t="shared" si="6"/>
        <v>1.9775738245380112</v>
      </c>
      <c r="L18">
        <f>IF(F18&lt;&gt;0,Configuración!$G$2,0)</f>
        <v>5</v>
      </c>
      <c r="M18">
        <v>1.3080099999999999</v>
      </c>
      <c r="N18">
        <v>1.32206</v>
      </c>
      <c r="Q18">
        <v>1.3126</v>
      </c>
      <c r="R18">
        <f t="shared" si="2"/>
        <v>2.2686325809872638</v>
      </c>
      <c r="S18" t="str">
        <f t="shared" si="7"/>
        <v>WIN</v>
      </c>
      <c r="T18" s="3">
        <v>45986</v>
      </c>
      <c r="W18">
        <f t="shared" si="8"/>
        <v>1.2128053943142923E-2</v>
      </c>
      <c r="X18" s="5">
        <f t="shared" si="9"/>
        <v>1.2023752679231894</v>
      </c>
      <c r="Y18" s="10">
        <f>VLOOKUP(C18,Configuración!$H$1:$I$11,2)</f>
        <v>1</v>
      </c>
      <c r="AB18">
        <f t="shared" si="10"/>
        <v>1</v>
      </c>
      <c r="AC18" s="5">
        <f>Tabla2[[#This Row],[$ Retorno]]+AC17</f>
        <v>95.477878597563588</v>
      </c>
    </row>
    <row r="19" spans="1:29" x14ac:dyDescent="0.55000000000000004">
      <c r="A19" s="3">
        <v>45985</v>
      </c>
      <c r="C19" t="s">
        <v>35</v>
      </c>
      <c r="D19" t="s">
        <v>38</v>
      </c>
      <c r="F19" t="s">
        <v>38</v>
      </c>
      <c r="G19">
        <v>194.535</v>
      </c>
      <c r="H19">
        <f t="shared" si="14"/>
        <v>-4.2614439561004844E-2</v>
      </c>
      <c r="I19">
        <f t="shared" si="15"/>
        <v>-0.23820906263654285</v>
      </c>
      <c r="J19">
        <f t="shared" si="12"/>
        <v>5.5898673100119938</v>
      </c>
      <c r="K19">
        <f t="shared" si="6"/>
        <v>2.4657029884024489E-2</v>
      </c>
      <c r="L19">
        <f>IF(F19&lt;&gt;0,Configuración!$G$2,0)</f>
        <v>5</v>
      </c>
      <c r="M19">
        <v>195.364</v>
      </c>
      <c r="N19">
        <v>189.90100000000001</v>
      </c>
      <c r="Q19">
        <v>194.113</v>
      </c>
      <c r="R19">
        <f t="shared" si="2"/>
        <v>4.2247955380780207</v>
      </c>
      <c r="S19" t="str">
        <f t="shared" si="7"/>
        <v>WIN</v>
      </c>
      <c r="T19" s="3">
        <v>45985</v>
      </c>
      <c r="W19">
        <f t="shared" si="8"/>
        <v>0.21692754517181848</v>
      </c>
      <c r="X19" s="5">
        <f t="shared" si="9"/>
        <v>2.1506196828334083</v>
      </c>
      <c r="Y19" s="10">
        <f>VLOOKUP(C19,Configuración!$H$1:$I$11,2)</f>
        <v>10</v>
      </c>
      <c r="AB19">
        <f t="shared" si="10"/>
        <v>0</v>
      </c>
      <c r="AC19" s="5">
        <f>Tabla2[[#This Row],[$ Retorno]]+AC18</f>
        <v>97.628498280396997</v>
      </c>
    </row>
    <row r="20" spans="1:29" x14ac:dyDescent="0.55000000000000004">
      <c r="A20" s="3">
        <v>45985</v>
      </c>
      <c r="C20" t="s">
        <v>31</v>
      </c>
      <c r="D20" t="s">
        <v>38</v>
      </c>
      <c r="F20" t="s">
        <v>38</v>
      </c>
      <c r="G20">
        <v>157.16499999999999</v>
      </c>
      <c r="H20">
        <f t="shared" si="14"/>
        <v>-4.0339770305094301E-2</v>
      </c>
      <c r="I20">
        <f t="shared" si="15"/>
        <v>-0.19718130627047942</v>
      </c>
      <c r="J20">
        <f t="shared" si="12"/>
        <v>4.8880126182964014</v>
      </c>
      <c r="K20">
        <f t="shared" si="6"/>
        <v>2.8897328390294682E-2</v>
      </c>
      <c r="L20">
        <f>IF(F20&lt;&gt;0,Configuración!$G$2,0)</f>
        <v>5</v>
      </c>
      <c r="M20">
        <v>157.79900000000001</v>
      </c>
      <c r="N20">
        <v>154.066</v>
      </c>
      <c r="Q20">
        <v>156.84200000000001</v>
      </c>
      <c r="R20">
        <f t="shared" si="2"/>
        <v>3.999284828047049</v>
      </c>
      <c r="S20" t="str">
        <f t="shared" si="7"/>
        <v>WIN</v>
      </c>
      <c r="T20" s="3">
        <v>45985</v>
      </c>
      <c r="W20">
        <f t="shared" si="8"/>
        <v>0.2055164954029072</v>
      </c>
      <c r="X20" s="5">
        <f t="shared" si="9"/>
        <v>2.0374905354244222</v>
      </c>
      <c r="Y20" s="10">
        <f>VLOOKUP(C20,Configuración!$H$1:$I$11,2)</f>
        <v>10</v>
      </c>
      <c r="AB20">
        <f t="shared" si="10"/>
        <v>0</v>
      </c>
      <c r="AC20" s="5">
        <f>Tabla2[[#This Row],[$ Retorno]]+AC19</f>
        <v>99.665988815821422</v>
      </c>
    </row>
    <row r="21" spans="1:29" x14ac:dyDescent="0.55000000000000004">
      <c r="A21" s="3">
        <v>45986</v>
      </c>
      <c r="C21" t="s">
        <v>33</v>
      </c>
      <c r="D21" t="s">
        <v>38</v>
      </c>
      <c r="F21" t="s">
        <v>38</v>
      </c>
      <c r="G21">
        <v>0.57352999999999998</v>
      </c>
      <c r="H21">
        <f t="shared" si="14"/>
        <v>-2.702561330706417E-2</v>
      </c>
      <c r="I21">
        <f t="shared" si="15"/>
        <v>-7.4276846895540441E-2</v>
      </c>
      <c r="J21">
        <f t="shared" si="12"/>
        <v>2.7483870967740578</v>
      </c>
      <c r="K21">
        <f t="shared" si="6"/>
        <v>5.3122170736080356</v>
      </c>
      <c r="L21">
        <f>IF(F21&lt;&gt;0,Configuración!$G$2,0)</f>
        <v>5</v>
      </c>
      <c r="M21">
        <v>0.57508000000000004</v>
      </c>
      <c r="N21">
        <v>0.56927000000000005</v>
      </c>
      <c r="Q21">
        <v>0.57233000000000001</v>
      </c>
      <c r="R21">
        <f t="shared" si="2"/>
        <v>2.6793193032623419</v>
      </c>
      <c r="S21" t="str">
        <f t="shared" si="7"/>
        <v>WIN</v>
      </c>
      <c r="T21" s="3">
        <v>45986</v>
      </c>
      <c r="W21">
        <f t="shared" si="8"/>
        <v>0.20923055463532492</v>
      </c>
      <c r="X21" s="5">
        <f t="shared" si="9"/>
        <v>2.0743117186546112</v>
      </c>
      <c r="Y21" s="10">
        <f>VLOOKUP(C21,Configuración!$H$1:$I$11,2)</f>
        <v>10</v>
      </c>
      <c r="AB21">
        <f t="shared" si="10"/>
        <v>0</v>
      </c>
      <c r="AC21" s="5">
        <f>Tabla2[[#This Row],[$ Retorno]]+AC20</f>
        <v>101.74030053447603</v>
      </c>
    </row>
    <row r="22" spans="1:29" x14ac:dyDescent="0.55000000000000004">
      <c r="A22" s="3">
        <v>45986</v>
      </c>
      <c r="C22" t="s">
        <v>26</v>
      </c>
      <c r="D22" t="s">
        <v>37</v>
      </c>
      <c r="F22" t="s">
        <v>37</v>
      </c>
      <c r="G22">
        <v>0.64497000000000004</v>
      </c>
      <c r="H22">
        <f t="shared" si="14"/>
        <v>4.4188101772175747E-2</v>
      </c>
      <c r="I22">
        <f t="shared" si="15"/>
        <v>0.19427260182644043</v>
      </c>
      <c r="J22">
        <f t="shared" si="12"/>
        <v>4.3964912280701212</v>
      </c>
      <c r="K22">
        <f t="shared" si="6"/>
        <v>7.7788906681498293</v>
      </c>
      <c r="L22">
        <f>IF(F22&lt;&gt;0,Configuración!$G$2,0)</f>
        <v>5</v>
      </c>
      <c r="M22">
        <v>0.64212000000000002</v>
      </c>
      <c r="N22">
        <v>0.65749999999999997</v>
      </c>
      <c r="Q22">
        <v>0.64676</v>
      </c>
      <c r="R22">
        <f t="shared" si="2"/>
        <v>4.380808409693504</v>
      </c>
      <c r="S22" t="str">
        <f t="shared" si="7"/>
        <v>WIN</v>
      </c>
      <c r="T22" s="3">
        <v>45986</v>
      </c>
      <c r="W22">
        <f t="shared" si="8"/>
        <v>2.7753228832348147E-2</v>
      </c>
      <c r="X22" s="5">
        <f t="shared" si="9"/>
        <v>2.7514551064389954</v>
      </c>
      <c r="Y22" s="10">
        <f>VLOOKUP(C22,Configuración!$H$1:$I$11,2)</f>
        <v>1</v>
      </c>
      <c r="AB22">
        <f t="shared" si="10"/>
        <v>0</v>
      </c>
      <c r="AC22" s="5">
        <f>Tabla2[[#This Row],[$ Retorno]]+AC21</f>
        <v>104.49175564091503</v>
      </c>
    </row>
    <row r="23" spans="1:29" x14ac:dyDescent="0.55000000000000004">
      <c r="A23" s="3">
        <v>45987</v>
      </c>
      <c r="C23" t="s">
        <v>31</v>
      </c>
      <c r="D23" t="s">
        <v>38</v>
      </c>
      <c r="F23" t="s">
        <v>38</v>
      </c>
      <c r="G23">
        <v>156.55199999999999</v>
      </c>
      <c r="H23">
        <f t="shared" si="14"/>
        <v>-3.0980121620931937E-2</v>
      </c>
      <c r="I23">
        <f t="shared" si="15"/>
        <v>-0.15879707700955531</v>
      </c>
      <c r="J23">
        <f t="shared" si="12"/>
        <v>5.1257731958761239</v>
      </c>
      <c r="K23">
        <f t="shared" si="6"/>
        <v>2.2300245663815707E-2</v>
      </c>
      <c r="M23">
        <v>157.03700000000001</v>
      </c>
      <c r="N23">
        <v>154.066</v>
      </c>
      <c r="Q23">
        <v>156.21600000000001</v>
      </c>
      <c r="R23">
        <f t="shared" si="2"/>
        <v>3.0713692574991924</v>
      </c>
      <c r="S23" t="str">
        <f t="shared" si="7"/>
        <v>WIN</v>
      </c>
      <c r="T23" s="3">
        <v>45988</v>
      </c>
      <c r="W23">
        <f t="shared" si="8"/>
        <v>0.21462517246664645</v>
      </c>
      <c r="X23" s="5">
        <f t="shared" ref="X23" si="16">(W23*$B$1)/Y23</f>
        <v>2.1277939598343329</v>
      </c>
      <c r="Y23" s="10">
        <f>VLOOKUP(C23,Configuración!$H$1:$I$11,2)</f>
        <v>10</v>
      </c>
      <c r="AB23">
        <f t="shared" si="10"/>
        <v>1</v>
      </c>
      <c r="AC23" s="5">
        <f>Tabla2[[#This Row],[$ Retorno]]+AC22</f>
        <v>106.61954960074937</v>
      </c>
    </row>
    <row r="24" spans="1:29" x14ac:dyDescent="0.55000000000000004">
      <c r="A24" s="3">
        <v>45987</v>
      </c>
      <c r="C24" t="s">
        <v>29</v>
      </c>
      <c r="D24" t="s">
        <v>38</v>
      </c>
      <c r="F24" t="s">
        <v>38</v>
      </c>
      <c r="G24">
        <v>0.80611999999999995</v>
      </c>
      <c r="H24">
        <f t="shared" si="14"/>
        <v>-2.9896293355828208E-2</v>
      </c>
      <c r="I24">
        <f t="shared" si="15"/>
        <v>-8.6463553813327071E-2</v>
      </c>
      <c r="J24">
        <f t="shared" si="12"/>
        <v>2.8921161825725537</v>
      </c>
      <c r="K24">
        <f t="shared" si="6"/>
        <v>4.1797444191456634</v>
      </c>
      <c r="M24">
        <v>0.80852999999999997</v>
      </c>
      <c r="N24">
        <v>0.79915000000000003</v>
      </c>
      <c r="Q24">
        <v>0.80357000000000001</v>
      </c>
      <c r="R24">
        <f t="shared" si="2"/>
        <v>2.9639185232968086</v>
      </c>
      <c r="S24" t="str">
        <f t="shared" si="7"/>
        <v>WIN</v>
      </c>
      <c r="T24" s="3">
        <v>45988</v>
      </c>
      <c r="W24">
        <f t="shared" si="8"/>
        <v>0.31633007492680265</v>
      </c>
      <c r="X24" s="5">
        <f t="shared" ref="X24:X25" si="17">(W24*$B$1)/Y24</f>
        <v>3.1360963628243215</v>
      </c>
      <c r="Y24" s="10">
        <f>VLOOKUP(C24,Configuración!$H$1:$I$11,2)</f>
        <v>10</v>
      </c>
      <c r="AB24">
        <f t="shared" si="10"/>
        <v>1</v>
      </c>
      <c r="AC24" s="5">
        <f>Tabla2[[#This Row],[$ Retorno]]+AC23</f>
        <v>109.75564596357368</v>
      </c>
    </row>
    <row r="25" spans="1:29" x14ac:dyDescent="0.55000000000000004">
      <c r="A25" s="3">
        <v>45988</v>
      </c>
      <c r="C25" t="s">
        <v>29</v>
      </c>
      <c r="D25" t="s">
        <v>38</v>
      </c>
      <c r="F25" t="s">
        <v>38</v>
      </c>
      <c r="G25">
        <v>0.80554000000000003</v>
      </c>
      <c r="H25">
        <f t="shared" si="14"/>
        <v>-3.5504133872929632E-2</v>
      </c>
      <c r="I25">
        <f t="shared" si="15"/>
        <v>-0.16225140899272569</v>
      </c>
      <c r="J25">
        <f t="shared" si="12"/>
        <v>4.5699300699301215</v>
      </c>
      <c r="K25">
        <f t="shared" si="6"/>
        <v>4.9645642615426757</v>
      </c>
      <c r="M25">
        <v>0.80840000000000001</v>
      </c>
      <c r="N25">
        <v>0.79247000000000001</v>
      </c>
      <c r="Q25">
        <v>0.80347000000000002</v>
      </c>
      <c r="R25">
        <f t="shared" si="2"/>
        <v>3.5198798321622435</v>
      </c>
      <c r="S25" t="str">
        <f t="shared" si="7"/>
        <v>WIN</v>
      </c>
      <c r="T25" s="3">
        <v>45989</v>
      </c>
      <c r="W25">
        <f t="shared" si="8"/>
        <v>0.25697047942994966</v>
      </c>
      <c r="X25" s="5">
        <f t="shared" si="17"/>
        <v>2.5476053330685211</v>
      </c>
      <c r="Y25" s="10">
        <f>VLOOKUP(C25,Configuración!$H$1:$I$11,2)</f>
        <v>10</v>
      </c>
      <c r="AB25">
        <f t="shared" si="10"/>
        <v>1</v>
      </c>
      <c r="AC25" s="5">
        <f>Tabla2[[#This Row],[$ Retorno]]+AC24</f>
        <v>112.3032512966422</v>
      </c>
    </row>
    <row r="26" spans="1:29" x14ac:dyDescent="0.55000000000000004">
      <c r="A26" s="3">
        <v>45988</v>
      </c>
      <c r="C26" t="s">
        <v>33</v>
      </c>
      <c r="D26" t="s">
        <v>38</v>
      </c>
      <c r="F26" t="s">
        <v>38</v>
      </c>
      <c r="G26">
        <v>0.57376000000000005</v>
      </c>
      <c r="H26">
        <f t="shared" si="14"/>
        <v>-5.2112381483546029E-2</v>
      </c>
      <c r="I26">
        <f t="shared" si="15"/>
        <v>-7.825571667596197E-2</v>
      </c>
      <c r="J26">
        <f t="shared" si="12"/>
        <v>1.5016722408027052</v>
      </c>
      <c r="K26">
        <f t="shared" si="6"/>
        <v>10.213670338313415</v>
      </c>
      <c r="M26">
        <v>0.57674999999999998</v>
      </c>
      <c r="N26">
        <v>0.56927000000000005</v>
      </c>
      <c r="Q26">
        <v>0.57674999999999998</v>
      </c>
      <c r="R26">
        <f t="shared" si="2"/>
        <v>5.1664215002787532</v>
      </c>
      <c r="S26" t="str">
        <f t="shared" si="7"/>
        <v>LOSE</v>
      </c>
      <c r="T26" s="3">
        <v>45989</v>
      </c>
      <c r="W26">
        <f t="shared" si="8"/>
        <v>-0.52112381483546033</v>
      </c>
      <c r="X26" s="5">
        <f t="shared" ref="X26:X28" si="18">(W26*$B$1)/Y26</f>
        <v>-5.1664215002787532</v>
      </c>
      <c r="Y26" s="10">
        <f>VLOOKUP(C26,Configuración!$H$1:$I$11,2)</f>
        <v>10</v>
      </c>
      <c r="AB26">
        <f t="shared" si="10"/>
        <v>1</v>
      </c>
      <c r="AC26" s="5">
        <f>Tabla2[[#This Row],[$ Retorno]]+AC25</f>
        <v>107.13682979636344</v>
      </c>
    </row>
    <row r="27" spans="1:29" x14ac:dyDescent="0.55000000000000004">
      <c r="A27" s="3">
        <v>45988</v>
      </c>
      <c r="C27" t="s">
        <v>31</v>
      </c>
      <c r="D27" t="s">
        <v>37</v>
      </c>
      <c r="F27" t="s">
        <v>37</v>
      </c>
      <c r="G27">
        <v>156.31700000000001</v>
      </c>
      <c r="H27">
        <f t="shared" si="14"/>
        <v>3.6912172060620287E-2</v>
      </c>
      <c r="I27">
        <f t="shared" si="15"/>
        <v>8.316433913137937E-2</v>
      </c>
      <c r="J27">
        <f t="shared" si="12"/>
        <v>2.2530329289427851</v>
      </c>
      <c r="K27">
        <f t="shared" si="6"/>
        <v>2.6791556796370145E-2</v>
      </c>
      <c r="M27">
        <v>155.74</v>
      </c>
      <c r="N27">
        <v>157.61699999999999</v>
      </c>
      <c r="Q27">
        <v>156.304</v>
      </c>
      <c r="R27">
        <f t="shared" si="2"/>
        <v>3.659472738089895</v>
      </c>
      <c r="S27" t="str">
        <f t="shared" si="7"/>
        <v>LOSE</v>
      </c>
      <c r="T27" s="3">
        <v>45988</v>
      </c>
      <c r="W27">
        <f t="shared" si="8"/>
        <v>-8.3164339131413915E-4</v>
      </c>
      <c r="X27" s="5">
        <f t="shared" si="18"/>
        <v>-8.2449125814883749E-3</v>
      </c>
      <c r="Y27" s="10">
        <f>VLOOKUP(C27,Configuración!$H$1:$I$11,2)</f>
        <v>10</v>
      </c>
      <c r="AB27">
        <f t="shared" si="10"/>
        <v>0</v>
      </c>
      <c r="AC27" s="5">
        <f>Tabla2[[#This Row],[$ Retorno]]+AC26</f>
        <v>107.12858488378195</v>
      </c>
    </row>
    <row r="28" spans="1:29" x14ac:dyDescent="0.55000000000000004">
      <c r="A28" s="3">
        <v>45989</v>
      </c>
      <c r="C28" t="s">
        <v>27</v>
      </c>
      <c r="D28" t="s">
        <v>37</v>
      </c>
      <c r="F28" t="s">
        <v>37</v>
      </c>
      <c r="G28">
        <v>1.1571199999999999</v>
      </c>
      <c r="H28">
        <f t="shared" si="14"/>
        <v>2.6877074115043784E-2</v>
      </c>
      <c r="I28">
        <f t="shared" si="15"/>
        <v>6.9396432522123741E-2</v>
      </c>
      <c r="J28">
        <f t="shared" si="12"/>
        <v>2.5819935691318716</v>
      </c>
      <c r="K28">
        <f t="shared" si="6"/>
        <v>2.6326973464380097</v>
      </c>
      <c r="M28">
        <v>1.15401</v>
      </c>
      <c r="N28">
        <v>1.1651499999999999</v>
      </c>
      <c r="Q28">
        <v>1.15987</v>
      </c>
      <c r="R28">
        <f t="shared" si="2"/>
        <v>2.6645931277654409</v>
      </c>
      <c r="S28" t="str">
        <f t="shared" si="7"/>
        <v>WIN</v>
      </c>
      <c r="T28" s="3">
        <v>45989</v>
      </c>
      <c r="W28">
        <f t="shared" si="8"/>
        <v>2.3765901548672832E-2</v>
      </c>
      <c r="X28" s="5">
        <f t="shared" si="18"/>
        <v>2.3561514795354244</v>
      </c>
      <c r="Y28" s="10">
        <f>VLOOKUP(C28,Configuración!$H$1:$I$11,2)</f>
        <v>1</v>
      </c>
      <c r="AB28">
        <f t="shared" si="10"/>
        <v>0</v>
      </c>
      <c r="AC28" s="5">
        <f>Tabla2[[#This Row],[$ Retorno]]+AC27</f>
        <v>109.48473636331738</v>
      </c>
    </row>
    <row r="29" spans="1:29" x14ac:dyDescent="0.55000000000000004">
      <c r="A29" s="3">
        <v>45994</v>
      </c>
      <c r="C29" t="s">
        <v>35</v>
      </c>
      <c r="D29" t="s">
        <v>38</v>
      </c>
      <c r="F29" t="s">
        <v>38</v>
      </c>
      <c r="G29">
        <v>194.15899999999999</v>
      </c>
      <c r="H29">
        <f>(G29-M29)/G29*10</f>
        <v>-1.534824551012324E-2</v>
      </c>
      <c r="I29">
        <f>(N29-G29)/G29*10</f>
        <v>-6.7315962690371711E-2</v>
      </c>
      <c r="J29">
        <f>I29/H29</f>
        <v>4.3859060402683898</v>
      </c>
      <c r="K29">
        <f>($C$1*ABS(H29))/M29</f>
        <v>8.9220299170989278E-3</v>
      </c>
      <c r="M29">
        <v>194.45699999999999</v>
      </c>
      <c r="N29">
        <v>192.852</v>
      </c>
      <c r="Q29">
        <v>193.46</v>
      </c>
      <c r="R29">
        <f>ABS(($B$1) *(H29))</f>
        <v>1.5216250598736181</v>
      </c>
      <c r="S29" t="str">
        <f>IF(X29=0,"Beakeven",IF(X29&gt;0,"WIN","LOSE"))</f>
        <v>WIN</v>
      </c>
      <c r="T29" s="3">
        <v>45995</v>
      </c>
      <c r="W29">
        <f>IF(Q29&gt;0, IF(F29="DOWN", ((G29-Q29)/G29)*10, ((Q29-G29)/G29))*10, 0)</f>
        <v>0.36001421515355136</v>
      </c>
      <c r="X29" s="5">
        <f>(W29*$B$1)/Y29</f>
        <v>3.5691809290323087</v>
      </c>
      <c r="Y29" s="10">
        <f>VLOOKUP(C29,Configuración!$H$1:$I$11,2)</f>
        <v>10</v>
      </c>
      <c r="AB29">
        <f>T29-A29</f>
        <v>1</v>
      </c>
      <c r="AC29" s="5">
        <f>Tabla2[[#This Row],[$ Retorno]]+AC28</f>
        <v>113.05391729234969</v>
      </c>
    </row>
    <row r="30" spans="1:29" x14ac:dyDescent="0.55000000000000004">
      <c r="A30" s="3">
        <v>45994</v>
      </c>
      <c r="C30" t="s">
        <v>29</v>
      </c>
      <c r="D30" t="s">
        <v>37</v>
      </c>
      <c r="F30" t="s">
        <v>37</v>
      </c>
      <c r="G30">
        <v>0.80047999999999997</v>
      </c>
      <c r="H30">
        <f>(G30-M30)/G30*10</f>
        <v>5.3967619428342883E-2</v>
      </c>
      <c r="I30">
        <f>(N30-G30)/G30*10</f>
        <v>0.11955326803917747</v>
      </c>
      <c r="J30">
        <f>I30/H30</f>
        <v>2.2152777777778003</v>
      </c>
      <c r="K30">
        <f>($C$1*ABS(H30))/M30</f>
        <v>7.6623401227028456</v>
      </c>
      <c r="M30">
        <v>0.79615999999999998</v>
      </c>
      <c r="N30">
        <v>0.81005000000000005</v>
      </c>
      <c r="Q30">
        <v>0.80035999999999996</v>
      </c>
      <c r="R30">
        <f>ABS(($B$1) *(H30))</f>
        <v>5.3503497901259136</v>
      </c>
      <c r="S30" t="str">
        <f>IF(X30=0,"Beakeven",IF(X30&gt;0,"WIN","LOSE"))</f>
        <v>LOSE</v>
      </c>
      <c r="T30" s="3">
        <v>45995</v>
      </c>
      <c r="W30">
        <f>IF(Q30&gt;0, IF(F30="DOWN", ((G30-Q30)/G30)*10, ((Q30-G30)/G30))*10, 0)</f>
        <v>-1.4991005396763066E-3</v>
      </c>
      <c r="X30" s="5">
        <f>(W30*$B$1)/Y30</f>
        <v>-1.4862082750350905E-2</v>
      </c>
      <c r="Y30" s="10">
        <f>VLOOKUP(C30,Configuración!$H$1:$I$11,2)</f>
        <v>10</v>
      </c>
      <c r="AB30">
        <f>T30-A30</f>
        <v>1</v>
      </c>
      <c r="AC30" s="5">
        <f>Tabla2[[#This Row],[$ Retorno]]+AC29</f>
        <v>113.03905520959934</v>
      </c>
    </row>
  </sheetData>
  <autoFilter ref="AC2:AC30" xr:uid="{45496DDD-75EE-4D1E-BF60-A57D1CD4F40E}"/>
  <conditionalFormatting sqref="C1:C67">
    <cfRule type="expression" dxfId="5" priority="3">
      <formula>$F1="DOWN"</formula>
    </cfRule>
    <cfRule type="expression" dxfId="4" priority="4">
      <formula>$F1="UP"</formula>
    </cfRule>
  </conditionalFormatting>
  <conditionalFormatting sqref="F1:F30">
    <cfRule type="containsText" dxfId="3" priority="5" operator="containsText" text="DOWN">
      <formula>NOT(ISERROR(SEARCH("DOWN",F1)))</formula>
    </cfRule>
    <cfRule type="containsText" dxfId="2" priority="6" operator="containsText" text="UP">
      <formula>NOT(ISERROR(SEARCH("UP",F1)))</formula>
    </cfRule>
  </conditionalFormatting>
  <conditionalFormatting sqref="S1:S1048576">
    <cfRule type="containsText" dxfId="1" priority="1" operator="containsText" text="LOSE">
      <formula>NOT(ISERROR(SEARCH("LOSE",S1)))</formula>
    </cfRule>
    <cfRule type="containsText" dxfId="0" priority="2" operator="containsText" text="WIN">
      <formula>NOT(ISERROR(SEARCH("WIN",S1)))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DDC4E25-7E1A-4C70-A8DC-FD81951BF3AE}">
          <x14:formula1>
            <xm:f>Configuración!$D$5:$D$7</xm:f>
          </x14:formula1>
          <xm:sqref>D3:D10 D14:D65</xm:sqref>
        </x14:dataValidation>
        <x14:dataValidation type="list" allowBlank="1" showInputMessage="1" showErrorMessage="1" xr:uid="{45E69E70-4B6F-4076-BAB1-455D4686D15E}">
          <x14:formula1>
            <xm:f>Configuración!$H$2:$H$11</xm:f>
          </x14:formula1>
          <xm:sqref>C3:C11 C14:C67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"/>
  <sheetViews>
    <sheetView topLeftCell="B1" workbookViewId="0">
      <selection activeCell="F19" sqref="F19"/>
    </sheetView>
  </sheetViews>
  <sheetFormatPr baseColWidth="10" defaultColWidth="8.83984375" defaultRowHeight="14.4" x14ac:dyDescent="0.55000000000000004"/>
  <cols>
    <col min="4" max="7" width="15.734375" customWidth="1"/>
    <col min="9" max="9" width="21.15625" customWidth="1"/>
    <col min="10" max="10" width="18.1015625" customWidth="1"/>
  </cols>
  <sheetData>
    <row r="1" spans="1:11" x14ac:dyDescent="0.55000000000000004">
      <c r="A1" s="1" t="s">
        <v>15</v>
      </c>
      <c r="B1" s="1" t="s">
        <v>16</v>
      </c>
      <c r="E1" t="s">
        <v>39</v>
      </c>
      <c r="F1" t="s">
        <v>40</v>
      </c>
      <c r="G1" t="s">
        <v>24</v>
      </c>
      <c r="I1" s="1" t="s">
        <v>84</v>
      </c>
      <c r="J1" s="1" t="s">
        <v>49</v>
      </c>
      <c r="K1" s="1" t="s">
        <v>50</v>
      </c>
    </row>
    <row r="2" spans="1:11" x14ac:dyDescent="0.55000000000000004">
      <c r="A2" t="s">
        <v>17</v>
      </c>
      <c r="B2" t="s">
        <v>20</v>
      </c>
      <c r="D2" t="s">
        <v>46</v>
      </c>
      <c r="E2">
        <v>1</v>
      </c>
      <c r="F2">
        <v>2</v>
      </c>
      <c r="G2">
        <v>5</v>
      </c>
      <c r="H2" t="s">
        <v>32</v>
      </c>
      <c r="I2">
        <v>1</v>
      </c>
      <c r="J2">
        <v>0.68</v>
      </c>
      <c r="K2">
        <v>0.76</v>
      </c>
    </row>
    <row r="3" spans="1:11" x14ac:dyDescent="0.55000000000000004">
      <c r="A3" t="s">
        <v>18</v>
      </c>
      <c r="B3" t="s">
        <v>21</v>
      </c>
      <c r="D3" t="s">
        <v>47</v>
      </c>
      <c r="G3">
        <v>3</v>
      </c>
      <c r="H3" t="s">
        <v>26</v>
      </c>
      <c r="I3">
        <v>1</v>
      </c>
      <c r="J3">
        <v>0.88</v>
      </c>
      <c r="K3">
        <v>0.74</v>
      </c>
    </row>
    <row r="4" spans="1:11" x14ac:dyDescent="0.55000000000000004">
      <c r="A4" t="s">
        <v>19</v>
      </c>
      <c r="B4" t="s">
        <v>22</v>
      </c>
      <c r="D4" t="s">
        <v>48</v>
      </c>
      <c r="H4" t="s">
        <v>33</v>
      </c>
      <c r="I4">
        <v>10</v>
      </c>
      <c r="J4">
        <v>0.82</v>
      </c>
      <c r="K4">
        <v>0.74</v>
      </c>
    </row>
    <row r="5" spans="1:11" x14ac:dyDescent="0.55000000000000004">
      <c r="A5" t="s">
        <v>4</v>
      </c>
      <c r="B5" s="6">
        <v>0.01</v>
      </c>
      <c r="D5" t="s">
        <v>37</v>
      </c>
      <c r="E5" t="s">
        <v>39</v>
      </c>
      <c r="H5" t="s">
        <v>35</v>
      </c>
      <c r="I5">
        <v>10</v>
      </c>
      <c r="J5">
        <v>0.87</v>
      </c>
      <c r="K5">
        <v>0.77</v>
      </c>
    </row>
    <row r="6" spans="1:11" x14ac:dyDescent="0.55000000000000004">
      <c r="A6" t="s">
        <v>57</v>
      </c>
      <c r="B6" s="6">
        <v>0.02</v>
      </c>
      <c r="D6" t="s">
        <v>38</v>
      </c>
      <c r="E6" t="s">
        <v>40</v>
      </c>
      <c r="H6" t="s">
        <v>34</v>
      </c>
      <c r="I6">
        <v>10</v>
      </c>
      <c r="J6">
        <v>0.83</v>
      </c>
      <c r="K6">
        <v>0.72</v>
      </c>
    </row>
    <row r="7" spans="1:11" x14ac:dyDescent="0.55000000000000004">
      <c r="D7" t="s">
        <v>51</v>
      </c>
      <c r="E7" t="s">
        <v>24</v>
      </c>
      <c r="H7" t="s">
        <v>27</v>
      </c>
      <c r="I7">
        <v>1</v>
      </c>
      <c r="J7">
        <v>0.84</v>
      </c>
      <c r="K7">
        <v>0.82</v>
      </c>
    </row>
    <row r="8" spans="1:11" x14ac:dyDescent="0.55000000000000004">
      <c r="E8" t="s">
        <v>45</v>
      </c>
      <c r="H8" t="s">
        <v>28</v>
      </c>
      <c r="I8">
        <v>1</v>
      </c>
      <c r="J8">
        <v>0.94</v>
      </c>
      <c r="K8">
        <v>0.92</v>
      </c>
    </row>
    <row r="9" spans="1:11" x14ac:dyDescent="0.55000000000000004">
      <c r="A9" t="s">
        <v>23</v>
      </c>
      <c r="B9" t="s">
        <v>58</v>
      </c>
      <c r="H9" t="s">
        <v>30</v>
      </c>
      <c r="I9">
        <v>1</v>
      </c>
      <c r="J9">
        <v>0.68</v>
      </c>
      <c r="K9">
        <v>0.72</v>
      </c>
    </row>
    <row r="10" spans="1:11" x14ac:dyDescent="0.55000000000000004">
      <c r="H10" t="s">
        <v>29</v>
      </c>
      <c r="I10">
        <v>10</v>
      </c>
      <c r="J10">
        <v>0.88</v>
      </c>
      <c r="K10">
        <v>0.98</v>
      </c>
    </row>
    <row r="11" spans="1:11" x14ac:dyDescent="0.55000000000000004">
      <c r="H11" t="s">
        <v>31</v>
      </c>
      <c r="I11">
        <v>10</v>
      </c>
      <c r="J11">
        <v>0.73</v>
      </c>
      <c r="K11">
        <v>0.84</v>
      </c>
    </row>
  </sheetData>
  <sortState xmlns:xlrd2="http://schemas.microsoft.com/office/spreadsheetml/2017/richdata2" ref="H2:K11">
    <sortCondition ref="H1:H11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0C1FE-D07F-4C8D-B698-5FD1BD4F1884}">
  <dimension ref="A1"/>
  <sheetViews>
    <sheetView tabSelected="1" zoomScale="64" zoomScaleNormal="64" workbookViewId="0">
      <selection activeCell="U17" sqref="U17:U18"/>
    </sheetView>
  </sheetViews>
  <sheetFormatPr baseColWidth="10" defaultRowHeight="14.4" x14ac:dyDescent="0.5500000000000000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Operaciones</vt:lpstr>
      <vt:lpstr>Hoja1</vt:lpstr>
      <vt:lpstr>Hoja3</vt:lpstr>
      <vt:lpstr>Hoja4</vt:lpstr>
      <vt:lpstr>Hoja5</vt:lpstr>
      <vt:lpstr>Hoja7</vt:lpstr>
      <vt:lpstr>Hoja8</vt:lpstr>
      <vt:lpstr>Hoja9</vt:lpstr>
      <vt:lpstr>nuevaok</vt:lpstr>
      <vt:lpstr>Configuración</vt:lpstr>
      <vt:lpstr>TABLERO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Pineda</dc:creator>
  <cp:lastModifiedBy>MINEC</cp:lastModifiedBy>
  <dcterms:created xsi:type="dcterms:W3CDTF">2025-06-27T19:44:22Z</dcterms:created>
  <dcterms:modified xsi:type="dcterms:W3CDTF">2025-12-04T15:04:50Z</dcterms:modified>
</cp:coreProperties>
</file>